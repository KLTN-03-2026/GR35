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992d563495b9917d/KLTN2026_Nhom35/"/>
    </mc:Choice>
  </mc:AlternateContent>
  <xr:revisionPtr revIDLastSave="564" documentId="11_F25DC773A252ABDACC10486579DB66605ADE58E6" xr6:coauthVersionLast="47" xr6:coauthVersionMax="47" xr10:uidLastSave="{79A849C0-CE81-471D-B5F5-8C97B33907B0}"/>
  <bookViews>
    <workbookView xWindow="-108" yWindow="-108" windowWidth="23256" windowHeight="13176" xr2:uid="{00000000-000D-0000-FFFF-FFFF00000000}"/>
  </bookViews>
  <sheets>
    <sheet name="Trường hợp kiểm thử" sheetId="1" r:id="rId1"/>
    <sheet name="Trợ lý AI" sheetId="2" r:id="rId2"/>
    <sheet name="API Key" sheetId="3" r:id="rId3"/>
    <sheet name="Lịch sử dữ liệu &amp; Export" sheetId="4" r:id="rId4"/>
    <sheet name="Báo cáo điểm nóng" sheetId="6" r:id="rId5"/>
    <sheet name="Duyệt báo cáo" sheetId="7" r:id="rId6"/>
    <sheet name="Dashboard người dùng" sheetId="5" r:id="rId7"/>
    <sheet name="Dashboard hệ thống" sheetId="8" r:id="rId8"/>
    <sheet name="Quản lý AQI Tỉnh, Thành phố" sheetId="9" r:id="rId9"/>
    <sheet name="Thống kê" sheetId="10" r:id="rId10"/>
    <sheet name="Phân quyền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L20" i="1"/>
  <c r="K20" i="1"/>
  <c r="J20" i="1"/>
  <c r="I20" i="1"/>
  <c r="H20" i="1"/>
  <c r="G20" i="1"/>
  <c r="F20" i="1"/>
  <c r="E20" i="1"/>
  <c r="D20" i="1"/>
  <c r="C20" i="1"/>
  <c r="P19" i="1"/>
  <c r="O19" i="1"/>
  <c r="N19" i="1"/>
  <c r="M19" i="1"/>
  <c r="P18" i="1"/>
  <c r="O18" i="1"/>
  <c r="N18" i="1"/>
  <c r="M18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P20" i="1" s="1"/>
  <c r="O10" i="1"/>
  <c r="N10" i="1"/>
  <c r="M10" i="1"/>
  <c r="F5" i="7"/>
  <c r="F4" i="7"/>
  <c r="F4" i="6"/>
  <c r="F5" i="6"/>
  <c r="F5" i="5"/>
  <c r="F4" i="5"/>
  <c r="F5" i="9"/>
  <c r="F4" i="9"/>
  <c r="F5" i="4"/>
  <c r="F4" i="4"/>
  <c r="F5" i="3"/>
  <c r="F4" i="3"/>
  <c r="F5" i="2"/>
  <c r="F4" i="2"/>
  <c r="D22" i="1" l="1"/>
  <c r="N20" i="1"/>
  <c r="O20" i="1"/>
  <c r="M20" i="1"/>
  <c r="C22" i="1"/>
  <c r="C23" i="1"/>
</calcChain>
</file>

<file path=xl/sharedStrings.xml><?xml version="1.0" encoding="utf-8"?>
<sst xmlns="http://schemas.openxmlformats.org/spreadsheetml/2006/main" count="1686" uniqueCount="891">
  <si>
    <t>Báo cáo thử nghiệm</t>
  </si>
  <si>
    <t>Tên dự án</t>
  </si>
  <si>
    <t>Ứng dụng AI xây dựng hệ thống giám sát và dự báo chất lượng không khí</t>
  </si>
  <si>
    <t>Creator</t>
  </si>
  <si>
    <t>Trần Hưng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</si>
  <si>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</si>
  <si>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</si>
  <si>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</si>
  <si>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</si>
  <si>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</si>
  <si>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</si>
  <si>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</si>
  <si>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</si>
  <si>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</si>
  <si>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</si>
  <si>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</si>
  <si>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 % Coverage</t>
  </si>
  <si>
    <t>STT</t>
  </si>
  <si>
    <t>Tên hiển thị</t>
  </si>
  <si>
    <t>Vòng 1</t>
  </si>
  <si>
    <t>Vòng 2</t>
  </si>
  <si>
    <t>Trợ lý AI</t>
  </si>
  <si>
    <t>API Key</t>
  </si>
  <si>
    <t>Lịch sử dữ liệu &amp; Export</t>
  </si>
  <si>
    <t>Báo cáo điểm nóng</t>
  </si>
  <si>
    <t>Duyệt báo cáo</t>
  </si>
  <si>
    <t>Dashboard người dùng</t>
  </si>
  <si>
    <t>Dashboard hệ thống</t>
  </si>
  <si>
    <t>Thống kê</t>
  </si>
  <si>
    <t>Phân quyền</t>
  </si>
  <si>
    <t>Quản lý AQI Tỉnh-Thành phố</t>
  </si>
  <si>
    <t>Sub total</t>
  </si>
  <si>
    <t>Vòng2</t>
  </si>
  <si>
    <t>Kiểm tra phủ sóng</t>
  </si>
  <si>
    <t>%</t>
  </si>
  <si>
    <t>Kiểm tra thành công phủ sống</t>
  </si>
  <si>
    <t>Project Name</t>
  </si>
  <si>
    <t>ỨNG DỤNG AI XÂY DỰNG HỆ THỐNG GIÁM SÁT VÀ DỰ BÁO CHẤT LƯỢNG KHÔNG KHÍ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</si>
  <si>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</si>
  <si>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</si>
  <si>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</si>
  <si>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</si>
  <si>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</si>
  <si>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</si>
  <si>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</si>
  <si>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</si>
  <si>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</si>
  <si>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</si>
  <si>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</si>
  <si>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</si>
  <si>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</si>
  <si>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</si>
  <si>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</si>
  <si>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</si>
  <si>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</si>
  <si>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GUI_SHOW TRỢ LÝ AI</t>
  </si>
  <si>
    <t>GUI_CB01</t>
  </si>
  <si>
    <t>Nút gọi Chatbot</t>
  </si>
  <si>
    <t>Quan sát góc dưới màn hình</t>
  </si>
  <si>
    <t>Hiển thị nút tròn, có biểu tượng chatbot.</t>
  </si>
  <si>
    <t>Pass</t>
  </si>
  <si>
    <t>Luyện</t>
  </si>
  <si>
    <t>Nút nổi bật và luôn nằm trên cùng các thành phần khác.</t>
  </si>
  <si>
    <t>GUI_CB02</t>
  </si>
  <si>
    <t>Khoảng chat trên cùng (Header)</t>
  </si>
  <si>
    <t>Bấm mở Chatbot</t>
  </si>
  <si>
    <t>Có biểu tượng, Tiêu đề "EcoAir Assistant", dòng chữ phụ "Trợ lý AI...".</t>
  </si>
  <si>
    <t>Có nút Đóng hộp thoại (X) ở góc phải.</t>
  </si>
  <si>
    <t>GUI_CB03</t>
  </si>
  <si>
    <t>Khung tin nhắn</t>
  </si>
  <si>
    <t>Quan sát tin nhắn chào mừng</t>
  </si>
  <si>
    <t>Của máy (Bot): Nằm bên trái, nền xám nhạt, góc bo tròn, có biểu tượng.</t>
  </si>
  <si>
    <t>Của người dùng: Nằm bên phải, nền xanh, chữ trắng, có biểu tượng.</t>
  </si>
  <si>
    <t>GUI_CB04</t>
  </si>
  <si>
    <t>Hiệu ứng đang gõ chữ</t>
  </si>
  <si>
    <t>Gửi câu hỏi và quan sát</t>
  </si>
  <si>
    <t>Hệ thống đang xử lý trả lời</t>
  </si>
  <si>
    <t>Chatbot hiển thị khung tin nhắn với 3 dấu chấm nhấp nháy liên tiếp.</t>
  </si>
  <si>
    <t>GUI_CB05</t>
  </si>
  <si>
    <t>Nút câu hỏi gợi ý</t>
  </si>
  <si>
    <t>Quan sát dưới danh sách tin nhắn</t>
  </si>
  <si>
    <t>Khung chat có dưới 3 tin nhắn</t>
  </si>
  <si>
    <t>Hiển thị danh sách câu hỏi gợi ý dạng nút bấm có quyền cuộn ngang màn hình.</t>
  </si>
  <si>
    <t>GUI_CB06</t>
  </si>
  <si>
    <t>Khu vực nhập tin nhắn</t>
  </si>
  <si>
    <t>Quan sát dưới cùng của cửa sổ</t>
  </si>
  <si>
    <t>Có ô nhập nội dung (ghi chú: "Hỏi về...").</t>
  </si>
  <si>
    <t>Nút gửi dạng mũi tên &gt; (Nút này bị khóa nếu chưa nhập gì).</t>
  </si>
  <si>
    <t>FUNCTION_SHOW TRỢ LÝ AI</t>
  </si>
  <si>
    <t>1. Trạng thái Đóng/Mở</t>
  </si>
  <si>
    <t>FUNC_CB01.1</t>
  </si>
  <si>
    <t>Mở cửa sổ Chatbot</t>
  </si>
  <si>
    <t>Bấm nút tiện ích chatbot</t>
  </si>
  <si>
    <t>Cửa sổ đang đóng</t>
  </si>
  <si>
    <t>Cửa sổ chat hiển thị mượt mà.</t>
  </si>
  <si>
    <t>Nhấn nút icon chatbot chuyển thành X.</t>
  </si>
  <si>
    <t>Con trỏ chuột tự động đặt sẵn vào ô nhập tin.</t>
  </si>
  <si>
    <t>FUNC_CB01.2</t>
  </si>
  <si>
    <t>Đóng cửa sổ Chatbot</t>
  </si>
  <si>
    <t>Bấm icon ✕ trên góc khung chat</t>
  </si>
  <si>
    <t>Cửa sổ đang mở</t>
  </si>
  <si>
    <t>Khung chat thu nhỏ/biến mất.</t>
  </si>
  <si>
    <t>Nút trở lại biểu tượng icon chatbot.</t>
  </si>
  <si>
    <t>2. Tương tác gửi tin nhắn</t>
  </si>
  <si>
    <t>FUNC_CB02.1</t>
  </si>
  <si>
    <t>Gửi tin bằng nút mũi tên &gt;</t>
  </si>
  <si>
    <t>Nhập nội dung -&gt; Nhấn &gt;</t>
  </si>
  <si>
    <t>Khung tin nhắn của bạn (xanh) nổi lên.</t>
  </si>
  <si>
    <t>Ô nhập liệu bị xóa trắng.</t>
  </si>
  <si>
    <t>Các lỗi chấm than gõ phím hiện ra (hiệu ứng chờ).</t>
  </si>
  <si>
    <t>FUNC_CB02.2</t>
  </si>
  <si>
    <t>Gửi tin bằng phím Enter</t>
  </si>
  <si>
    <t>Nhập nội dung -&gt; Bấm Enter</t>
  </si>
  <si>
    <t>Cho kết quả giống như việc bấm nút gửi &gt;.</t>
  </si>
  <si>
    <t>FUNC_CB02.3</t>
  </si>
  <si>
    <t>Chặn bấm phím Enter khi chưa viết gì</t>
  </si>
  <si>
    <t>Bấm Enter ở ô chữ trống</t>
  </si>
  <si>
    <t>Nút gửi &gt; vẫn bị mờ (bị khóa).</t>
  </si>
  <si>
    <t>Không gửi tin đi.</t>
  </si>
  <si>
    <t>FUNC_CB02.4</t>
  </si>
  <si>
    <t>Nhấp vào các nút câu hỏi gợi ý</t>
  </si>
  <si>
    <t>Nhấp 1 câu hỏi trên màn hình</t>
  </si>
  <si>
    <t>Khi mở chat lần đầu</t>
  </si>
  <si>
    <t>Tự động thay người dùng hỏi nội dung trong nút ấn.</t>
  </si>
  <si>
    <t>Các nút gợi ý biến mất sau khi hỏi mục đầu tiên.</t>
  </si>
  <si>
    <t>3. Xử lý phản hồi</t>
  </si>
  <si>
    <t>FUNC_CB03.1</t>
  </si>
  <si>
    <t>Phản hồi thông tin thành công</t>
  </si>
  <si>
    <t>Hệ thống sẵn sàng phục vụ</t>
  </si>
  <si>
    <t>Hiệu ứng đang gõ kết thúc.</t>
  </si>
  <si>
    <t>Khung chat hiện tin nhắn phản hồi của trợ lý có đầy đủ văn bản và đường dẫn.</t>
  </si>
  <si>
    <t>FUNC_CB03.2</t>
  </si>
  <si>
    <t>Báo lỗi khi mất mạng / rớt máy chủ</t>
  </si>
  <si>
    <t>Gửi tin lúc bị rớt kết nối mạng</t>
  </si>
  <si>
    <t>Máy chủ có sự cố</t>
  </si>
  <si>
    <t>Tiết lộ lỗi "Xin lỗi, đã có lỗi xảy ra. Vui lòng thử lại sau.".</t>
  </si>
  <si>
    <t>FUNC_CB03.3</t>
  </si>
  <si>
    <t>Tự động cuộn trang mới nhất</t>
  </si>
  <si>
    <t>Gửi nhiều nội dung dài</t>
  </si>
  <si>
    <t>Vượt khỏi khoảng khung nhìn</t>
  </si>
  <si>
    <t>Cửa sổ trò chuyện tự động lướt xuống hiển thị tin mới nhất.</t>
  </si>
  <si>
    <t>FUNC_CB03.4</t>
  </si>
  <si>
    <t>Chặn thao tác nhấn gửi liên tục</t>
  </si>
  <si>
    <t>Ngồi nhấn Enter nhiều lần</t>
  </si>
  <si>
    <t>Hệ thống đang xử lý câu cũ</t>
  </si>
  <si>
    <t>Ô nhập bị khóa cho đến khi Chatbot trả lời xong (ngăn chặn tình trạng spam).</t>
  </si>
  <si>
    <t>Fail</t>
  </si>
  <si>
    <t>GUI_SHOW API KEY</t>
  </si>
  <si>
    <t>GUI_AK01</t>
  </si>
  <si>
    <t>Cụm chức năng tiêu đề</t>
  </si>
  <si>
    <t>Quan sát đầu trang quản lý</t>
  </si>
  <si>
    <t>Chữ "Air Quality API" nổi bật.</t>
  </si>
  <si>
    <t>Có dòng chữ "Tài liệu API" để truy cập hướng dẫn sử dụng.</t>
  </si>
  <si>
    <t>Nút xanh lá "Tạo API Key".</t>
  </si>
  <si>
    <t>GUI_AK02</t>
  </si>
  <si>
    <t>Thông báo màu sắc phản hồi (Thành công/Lỗi)</t>
  </si>
  <si>
    <t>Thử làm lỗi hoặc tạo mới</t>
  </si>
  <si>
    <t>Hiện thông báo thanh chữ nổi. Khung đỏ khi xảy ra sự cố, khung xanh khi xử lý thành công.</t>
  </si>
  <si>
    <t>GUI_AK03</t>
  </si>
  <si>
    <t>Bảng mẫu điều thông tin tạo Mới</t>
  </si>
  <si>
    <t>Bấm nút "Tạo API Key"</t>
  </si>
  <si>
    <t>Chia 2 mục: Tên hệ thống (project), Số ngày để ứng dụng tồn tại.</t>
  </si>
  <si>
    <t>Nút điền thao tác "Tạo API Key" kích hoạt.</t>
  </si>
  <si>
    <t>GUI_AK04</t>
  </si>
  <si>
    <t>Xem cấu trúc danh sách lưu trữ</t>
  </si>
  <si>
    <t>Xem tổng quan dưới phần điền thông tin</t>
  </si>
  <si>
    <t>Nếu đã từng tạo Key</t>
  </si>
  <si>
    <t>7 cột thông tin: Tên thẻ gọi, Chuỗi thẻ gọi bị che, Tên gói, Giới hạn lượng gọi mỗi tháng, Hạn hết kì, Ngày tạo thẻ, Nút thao tác mở rộng (⋮).</t>
  </si>
  <si>
    <t>GUI_AK05</t>
  </si>
  <si>
    <t>Trạng thái thẻ che mật khẩu</t>
  </si>
  <si>
    <t>Quan sát dòng mã khóa gọi lệnh</t>
  </si>
  <si>
    <t>Có Key kết nối từ Server</t>
  </si>
  <si>
    <t>Chứa chuỗi che giấu mặc định (….).</t>
  </si>
  <si>
    <t>Có nút "Hiện/Ẩn" chữ nhỏ để chuyển đổi xem rõ ràng/che lại mã.</t>
  </si>
  <si>
    <t>GUI_AK06</t>
  </si>
  <si>
    <t>Trạng thái hiển thị lượt gọi (Quota)</t>
  </si>
  <si>
    <t>Quan sát Cột Số lượng (Số lượt/tháng)</t>
  </si>
  <si>
    <t>Thiết lập chữ đậm đối với số lần sử dụng (Ví dụ: 0/10,000 dành riêng cho gói Free).</t>
  </si>
  <si>
    <t>GUI_AK07</t>
  </si>
  <si>
    <t>Trạng thái dòng Chưa Tồn Tại Dữ Liệu</t>
  </si>
  <si>
    <t>Chưa từng tạo API</t>
  </si>
  <si>
    <t>Tài khoản mới / Đã xóa sạch</t>
  </si>
  <si>
    <t>Hiển thị 1 hàng trống thông báo: "Chưa có API Key. Hãy tạo mới".</t>
  </si>
  <si>
    <t>GUI_AK08</t>
  </si>
  <si>
    <t>Trình Tùy Chọn mở rộng (⋮)</t>
  </si>
  <si>
    <t>Nhấn Tùy Chọn 3 chấm đuôi dòng</t>
  </si>
  <si>
    <t>Mở menu đổ xuống gồm: Sao chép, Đổi tên, và nút Xóa (màu đỏ).</t>
  </si>
  <si>
    <t>GUI_AK09</t>
  </si>
  <si>
    <t>Khung hiển thị Mã Toàn Phần</t>
  </si>
  <si>
    <t>Vừa bấm điền thành công</t>
  </si>
  <si>
    <t>Thực hiện Lưu mới lần đầu</t>
  </si>
  <si>
    <t>Bên dưới xuất hiện một hộp thông tin báo rõ ràng.</t>
  </si>
  <si>
    <t>FUNCTION_SHOW API KEY</t>
  </si>
  <si>
    <t>1. Gọi cơ sở dữ liệu để Đăng xuất Keys Danh Sách</t>
  </si>
  <si>
    <t>FUNC_AK01.1</t>
  </si>
  <si>
    <t>Danh sách chuẩn</t>
  </si>
  <si>
    <t>Vào giao diện Developer Key</t>
  </si>
  <si>
    <t>Người dùng có tài khoản hợp lệ</t>
  </si>
  <si>
    <t>Chạy danh sách các khóa API hợp pháp.</t>
  </si>
  <si>
    <t>FUNC_AK01.2</t>
  </si>
  <si>
    <t>Xếp Quota theo quyền người đăng ký</t>
  </si>
  <si>
    <t>Cấp bậc gói đang đứng</t>
  </si>
  <si>
    <t>Tự động thiết lập tỷ lệ: Lượt sử dụng / (Tối đa 10,000 lượt với Gói Cơ Bản (Free)).</t>
  </si>
  <si>
    <t>2. Đăng ký Tạo Mới</t>
  </si>
  <si>
    <t>FUNC_AK02.1</t>
  </si>
  <si>
    <t>Cấm khởi tạo không tên</t>
  </si>
  <si>
    <t>Làm trống tên mô hình/Tên project</t>
  </si>
  <si>
    <t>Đang bật khởi tạo</t>
  </si>
  <si>
    <t>Nút đăng ký "Tạo API Key" bị khóa và làm mờ màu không cho phép Click.</t>
  </si>
  <si>
    <t>FUNC_AK02.2</t>
  </si>
  <si>
    <t>Thiết lập hệ thông thời gian tồn tại</t>
  </si>
  <si>
    <t>Gõ "xyz" qua Cột ngày Hết Hạn</t>
  </si>
  <si>
    <t>Ô input chỉ giữ các giới hạn cho nhập "số học". Không cho nhập số quá lớn (&gt;365) tuỳ trên giao diện nhập.</t>
  </si>
  <si>
    <t>FUNC_AK02.3</t>
  </si>
  <si>
    <t>Hoàn thành Tạo thẻ kết nối API</t>
  </si>
  <si>
    <t>Vào nút Điền Form + Tick "Tạo"</t>
  </si>
  <si>
    <t>Tắt bảng form Tạo Khóa hiện tại.</t>
  </si>
  <si>
    <t>Điền thêm 1 hàng dữ liệu API xuống bảng dưới thành công.</t>
  </si>
  <si>
    <t>3. Tương Tác Thêm Khác</t>
  </si>
  <si>
    <t>FUNC_AK03.1</t>
  </si>
  <si>
    <t>Gỡ Khóa Xem Rõ Ràng Mã Code</t>
  </si>
  <si>
    <t>Ấn dòng Chữ "Ẩn/Hiện"</t>
  </si>
  <si>
    <t>Tại dòng nào có mã ID kết nối</t>
  </si>
  <si>
    <t>Tắt chế độ "…." hiện lên rõ ràng chữ nghĩa như chuỗi key bảo mật.</t>
  </si>
  <si>
    <t>FUNC_AK03.2</t>
  </si>
  <si>
    <t>Sao chép bảo mật hệ thống</t>
  </si>
  <si>
    <t>Nhấn nút Sao Chép</t>
  </si>
  <si>
    <t>Chép văn bản vào hệ máy tính Clipboard.</t>
  </si>
  <si>
    <t>Bật Thông báo chữ trên màn hình: "Đã copy...".</t>
  </si>
  <si>
    <t>FUNC_AK03.3</t>
  </si>
  <si>
    <t>Thay Đổi Tên Mô Hình</t>
  </si>
  <si>
    <t>Nhấp phần Đổi Tên</t>
  </si>
  <si>
    <t>Mở lời nhắc cửa sổ. Khách hàng thay đổi chữ trong lời nhắc -&gt; Bấm OK.</t>
  </si>
  <si>
    <t>Trình Duyệt làm mới luôn lại Tên Trên Bảng (nhanh nhạy, không cần tải tải lại trang).</t>
  </si>
  <si>
    <t>FUNC_AK03.4</t>
  </si>
  <si>
    <t>Sửa Tên Thất Bại do bỏ ngang</t>
  </si>
  <si>
    <t>Chọn Đổi Tên nhưng tắt Hủy bỏ</t>
  </si>
  <si>
    <t>Tắt thông tin, màn hình bảng điều khiển dữ liệu API Key không thay đổi.</t>
  </si>
  <si>
    <t>Lịch sử dữ liệu</t>
  </si>
  <si>
    <t>GUI_SHOW LỊCH SỬ DỮ LIỆU</t>
  </si>
  <si>
    <t>UI_HE01</t>
  </si>
  <si>
    <t>Cụm từ và Hình ảnh đầu trang</t>
  </si>
  <si>
    <t>Đứng khu vực đầu Trang</t>
  </si>
  <si>
    <t>Hiển thị ảnh Minh Họa Kho Lịch Sử (Database icon), cùng tiêu đề in đậm "Truy xuất dữ liệu lịch sử".</t>
  </si>
  <si>
    <t>Lĩnh</t>
  </si>
  <si>
    <t>GUI_HE02</t>
  </si>
  <si>
    <t>Mẫu lựa chọn Đối Tượng Lọc Khí</t>
  </si>
  <si>
    <t>Xem Vị trí Công Cụ tìm kiếm Filter</t>
  </si>
  <si>
    <t>Lựa chọn cho mục "Phân loại" gồm phần: Chọn Thành Phố / Chọn Trạm Quản Lí Riêng Lẻ.</t>
  </si>
  <si>
    <t>GUI_HE03</t>
  </si>
  <si>
    <t>Mẫu Tên của Thực thể được Cập Nhật</t>
  </si>
  <si>
    <t>Thay đổi cách lọc trong "Phân loại"</t>
  </si>
  <si>
    <t>Đổi từ Thành Phố qua Trạm</t>
  </si>
  <si>
    <t>Lựa chọn thứ hai sẽ biến đổi tên hàng loạt dựa vào Thành phố tương ứng qua Trạm Tự Động.</t>
  </si>
  <si>
    <t>GUI_HE04</t>
  </si>
  <si>
    <t>Khung Số Ngày cho phép Tải Cứu Dữ Liệu</t>
  </si>
  <si>
    <t>View Option "Thời gjan"</t>
  </si>
  <si>
    <t>Sổ xuống gồm: Mốc 24 Giờ, 7 ngày, 30 ngày (Dành cho gói PRO), Thiết lập tự do (PRO).</t>
  </si>
  <si>
    <t>GUI_HE05</t>
  </si>
  <si>
    <t>Ô Cấu hình lọc nồng độ PM2.5</t>
  </si>
  <si>
    <t>Xem ô Khung nhập ngưỡng bụi mịn</t>
  </si>
  <si>
    <t>Có chỗ điền nội dạng con số, với tên gọi gốc </t>
  </si>
  <si>
    <r>
      <t>(µg/m³)</t>
    </r>
    <r>
      <rPr>
        <sz val="13"/>
        <color theme="1"/>
        <rFont val="Times New Roman"/>
        <family val="1"/>
      </rPr>
      <t> minh họa kế bên.</t>
    </r>
  </si>
  <si>
    <t>GUI_HE06</t>
  </si>
  <si>
    <t>Giao Diện Khung Ngài Tùy Biến (Gói PRO)</t>
  </si>
  <si>
    <t>Lấy ô Lọc thời gian, Cài về Cài Tuỳ Chỉnh</t>
  </si>
  <si>
    <t>Khách nâng cấp gói Vàng/Pro</t>
  </si>
  <si>
    <t>Rơi xuống 2 Ô Lựa Chọn Thời Gian chạy (Ngày Bắt Đầu – Ngày Kết Thúc).</t>
  </si>
  <si>
    <t>GUI_HE07</t>
  </si>
  <si>
    <t>Thiết kế Biểu Đồ Lịch Sử</t>
  </si>
  <si>
    <t>Ấn nút chạy "Truy vấn"</t>
  </si>
  <si>
    <t>Có kết quả lịch sử truy cứu thành công</t>
  </si>
  <si>
    <t>Biểu đồ hiện lên rõ ràng:</t>
  </si>
  <si>
    <t>Cột phía dưới (thời gian), Cột Dọc (Giá trị).</t>
  </si>
  <si>
    <t>VẼ CỘT màu biểu thị chỉ số AQI chính.</t>
  </si>
  <si>
    <t>Có nét đường nối của PM2.5 và PM10.</t>
  </si>
  <si>
    <t>GUI_HE08</t>
  </si>
  <si>
    <t>Số liệu Tổng dọn theo hàng</t>
  </si>
  <si>
    <t>Quan sát bảng liệt kê chữ số Dưới Biểu Đồ</t>
  </si>
  <si>
    <t>Chỉ xếp 20 dòng đo kết quả gần đây nhất để không nghẽn máy tính.</t>
  </si>
  <si>
    <t>FUNCTION_SHOW LỊCH SỬ DỮ LIỆU</t>
  </si>
  <si>
    <t>1. Cài đặt Khởi Đầu cho Giao Diện Dữ Liệu</t>
  </si>
  <si>
    <t>FUNC_HE01.1</t>
  </si>
  <si>
    <t>Nạp Tự động thông tin từ Hệ máy chủ (Sever)</t>
  </si>
  <si>
    <t>Vừa Click mở mục Truy xuất Lịch Sử</t>
  </si>
  <si>
    <t>Web có kết nối wifi / mạng</t>
  </si>
  <si>
    <t>Server sẽ lấy hết toàn mảng Tên Thành Phố, Trạm không khí về tải lên trang này và xếp theo hệ chữ cái từ A -&gt; Z.</t>
  </si>
  <si>
    <t>FUNC_HE01.2</t>
  </si>
  <si>
    <t>Xử Lý Luân Chuyển Dữ liệu Tên Theo Dòng</t>
  </si>
  <si>
    <t>Thay lựa Chọn "Thành Phố" Thành "Trạm"</t>
  </si>
  <si>
    <t>Mặc định tự chỉ định cái tên trạm Đầu Tiên lên trên để không sợ trống đối tượng tìm Lọc.</t>
  </si>
  <si>
    <t>2. Thực hiện Chạy Bộ Lọc Xem Thông Tin</t>
  </si>
  <si>
    <t>FUNC_HE02.1</t>
  </si>
  <si>
    <t>Ngăn tính năng Dòng Chọn Quá Khứ của Hạng Thường</t>
  </si>
  <si>
    <t>Đang có gói cơ bản (Free), Click Lọc Tuần / Lọc 30 Ngày</t>
  </si>
  <si>
    <t>Bấm chữ "Truy Vấn"</t>
  </si>
  <si>
    <t>Thấy Bảng đỏ chê Cảnh Cáo hiện lên: "Tính năng yêu cầu tài khoản nâng cấp PRO". Cản không cho lấy dữ liệu Lịch Sử qua Server.</t>
  </si>
  <si>
    <t>FUNC_HE02.2</t>
  </si>
  <si>
    <t>Tiếp Gọi Dữ Liệu Custom Range Ngày Tháng</t>
  </si>
  <si>
    <t>Click Điền các ngày Tháng Tự Do -&gt; Truy Vấn</t>
  </si>
  <si>
    <t>Tài khoản đã Đạt Gói Cao Cấp (Pro)</t>
  </si>
  <si>
    <t>Truy cập chính xác thông tin Ngày Vào, Ngày Điền bằng lịch thông số tới Sever trả về biểu đồ ứng chừng đó Số Liệu.</t>
  </si>
  <si>
    <t>FUNC_HE02.3</t>
  </si>
  <si>
    <t>Trải Nghiệm Mượt Ma Khi Ấn Tải Biểu Đồ</t>
  </si>
  <si>
    <t>Chọn Nút "Truy Vấn"</t>
  </si>
  <si>
    <t>Điền đầy đủ mục Lọc</t>
  </si>
  <si>
    <t>Ứng dụng Báo Đang Chờ "Lấy Dữ Liệu...".</t>
  </si>
  <si>
    <t>FUNC_HE02.4</t>
  </si>
  <si>
    <t>Bảng Số Cập Nhật Chắc chắn Giờ Mới Nhất</t>
  </si>
  <si>
    <t>Thao Tác Chờ Kết quả hoàn thiện biểu đồ</t>
  </si>
  <si>
    <t>Trình Duyệt Bẻ Mảng Các Thời Gian Trả Thành (Mới hơn Trên Cùng) bằng code tự lập (Reverse).</t>
  </si>
  <si>
    <t>FUNC_HE02.5</t>
  </si>
  <si>
    <t>Chuyển Chuẩn Tên Gọi Ngày VN</t>
  </si>
  <si>
    <t>Xem phần chữ trên bảng của 20 giá trị liệt kê</t>
  </si>
  <si>
    <t>Giờ có thêm dạng giờ địa lý riêng 00:00 ngày/tháng/năm của nội địa người việt, bỏ đi các múi giờ Tây sai lệch T.</t>
  </si>
  <si>
    <t>3. Cập nhật Số Liệu và Trực quan trên Biểu Đồ Hình Ảnh</t>
  </si>
  <si>
    <t>FUNC_HE03.1</t>
  </si>
  <si>
    <t>Gửi Số Bộ Lọc PM2.5 vào Cụ Lọc</t>
  </si>
  <si>
    <t>Đánh 50 vào ô Lọc</t>
  </si>
  <si>
    <t>Bấm chạy Lấy Số Liệu</t>
  </si>
  <si>
    <t>Bản ghi dữ liệu (Các Cột trên Bảng &amp; Ảnh Biểu Đồ) đều lớn hơn hoặc vừa bằng 50. Không có các đoạn ngày PM Nhỏ Hơn xuất hiện.</t>
  </si>
  <si>
    <t>FUNC_HE03.2</t>
  </si>
  <si>
    <t>Kiểm Tra Chỉ Cột Cụ Thể Trong Biểu Đồ Họa Đồ</t>
  </si>
  <si>
    <t>Để chuột chạm/chĩa vào thanh Giá Trị Vàng/Xanh nào đó</t>
  </si>
  <si>
    <t>Có pop-up hộp màu đen nho nhỏ rớt xuống ngay đầu trỏ chuột để giải nghĩa cho chỉ số Cụ thể hiện tại.</t>
  </si>
  <si>
    <t>FUNC_HE03.3</t>
  </si>
  <si>
    <t>Ràng buộc hiển thị Cố Định Tổng Thể 20 Hàng Log</t>
  </si>
  <si>
    <t>Khi Mạng Lọc ra Tận 80 Giá trị</t>
  </si>
  <si>
    <t>Lệnh máy chủ tự chỉ cất ra 20 kết quả trong Bảng Xem Text .</t>
  </si>
  <si>
    <t>Hiển thị cảnh báo phía dưới đáy bảng "Đang hiện thị 20 dòng gần nhất... hãy xuất ra báo cáo để làm rõ xem full".</t>
  </si>
  <si>
    <t>4. Xuất Tệp Văn Bản  (CSV/Excel)</t>
  </si>
  <si>
    <t>FUNC_HE04.1</t>
  </si>
  <si>
    <t>Khóa chức năng Xuất Cáo Cáo khi trống Rỗng</t>
  </si>
  <si>
    <t>Xem bảng chưa bắt lọc, Chỗ Export</t>
  </si>
  <si>
    <t>Cấm nhấp vào Tải CSV (nút xuất tệp xám xịt).</t>
  </si>
  <si>
    <t>FUNC_HE04.2</t>
  </si>
  <si>
    <t xml:space="preserve"> Xuất File CSV</t>
  </si>
  <si>
    <t>Đã Bấm Lấy Nội dung và Chạy Nút Lấy Báo cáo Export</t>
  </si>
  <si>
    <t>Chứa Dữ Liệu</t>
  </si>
  <si>
    <t>Hệ điều hành thiết bị Tự Mở Chế Độ Load 1 file "EcoAir_Export_StationName_7d.csv" về chứa Trong Thùng Tải (Downloads) .</t>
  </si>
  <si>
    <t>Những Dữ Giờ "Phụ" của Developer nội bộ sẽ bị tước bỏ. Format Thời gian kéo ra Vạch xuất Phát ở vị trí 1 Đầu Tiên của File Excel CSV.</t>
  </si>
  <si>
    <t>GUI_SHOW BÁO CÁO ĐIỂM NÓNG</t>
  </si>
  <si>
    <t>GUI_RT01</t>
  </si>
  <si>
    <t>Tiêu đề và mô tả trang</t>
  </si>
  <si>
    <t>Nhìn vào đầu trang</t>
  </si>
  <si>
    <t>Tiêu đề lớn "Báo cáo điểm nóng ô nhiễm" và dòng mô tả kêu gọi cộng đồng hiển thị rõ ràng.</t>
  </si>
  <si>
    <t>Thúy</t>
  </si>
  <si>
    <t>GUI_RT02</t>
  </si>
  <si>
    <t>Khung tải ảnh khi chưa có ảnh</t>
  </si>
  <si>
    <t>Nhìn vào ô tải ảnh</t>
  </si>
  <si>
    <t>Chưa chọn ảnh</t>
  </si>
  <si>
    <t>Khung có viền nét đứt, biểu tượng tải lên, chữ "Kéo thả hoặc nhấp để tải ảnh lên" và ghi chú "Hỗ trợ JPG, PNG (Tối đa 10MB)".</t>
  </si>
  <si>
    <t>GUI_RT03</t>
  </si>
  <si>
    <t>Đổi màu viền khi rê chuột vào khung ảnh</t>
  </si>
  <si>
    <t>Rê chuột vào khung tải ảnh</t>
  </si>
  <si>
    <t>Viền chuyển sang màu xanh lá khi chuột ở trên, trở lại màu xám khi rời ra.</t>
  </si>
  <si>
    <t>GUI_RT04</t>
  </si>
  <si>
    <t>Khu vực hiển thị vị trí GPS</t>
  </si>
  <si>
    <t>Nhìn vào phần xác nhận vị trí</t>
  </si>
  <si>
    <t>Có biểu tượng ghim vị trí, nhãn "Vị trí hiện tại" với dòng chữ "Đang chờ lấy vị trí..." và nút "Lấy tọa độ GPS hiện tại" bên phải.</t>
  </si>
  <si>
    <t>GUI_RT05</t>
  </si>
  <si>
    <t>Danh sách loại sự cố</t>
  </si>
  <si>
    <t>Nhấn vào ô "Phân loại" để xem các lựa chọn</t>
  </si>
  <si>
    <t>Hiển thị đúng 4 lựa chọn kèm thời gian hiển thị trên bản đồ:</t>
  </si>
  <si>
    <t>Cháy nổ / Khói bụi (Ẩn sau 2 giờ)</t>
  </si>
  <si>
    <t>Mùi hôi / Đốt rác (Ẩn sau 6 giờ)</t>
  </si>
  <si>
    <t>Xả thải công nghiệp (Ẩn sau 24 giờ)</t>
  </si>
  <si>
    <t>Khác (Ẩn sau 12 giờ)</t>
  </si>
  <si>
    <t>Mặc định đang chọn loại đầu tiên.</t>
  </si>
  <si>
    <t>GUI_RT06</t>
  </si>
  <si>
    <t>Ô nhập mô tả</t>
  </si>
  <si>
    <t>Nhìn vào ô mô tả tình trạng</t>
  </si>
  <si>
    <t>Ô có gợi ý mẫu câu, chiều cao vừa đủ nhìn thấy.</t>
  </si>
  <si>
    <t>GUI_RT07</t>
  </si>
  <si>
    <t>Nút gửi báo cáo</t>
  </si>
  <si>
    <t>Nhìn vào nút bên dưới form</t>
  </si>
  <si>
    <t>Nút "Gửi báo cáo" màu xanh lá, chữ đậm trắng; bên dưới có dòng nhỏ "…xác minh trong vòng 15–30 phút".</t>
  </si>
  <si>
    <t>GUI_RT08</t>
  </si>
  <si>
    <t>Cột hướng dẫn bên phải</t>
  </si>
  <si>
    <t>Nhìn vào thanh bên</t>
  </si>
  <si>
    <t>Card màu xanh đậm với 3 bước: 01 Chụp ảnh rõ nét, 02 Xác nhận vị trí, 03 Gửi &amp; Theo dõi.</t>
  </si>
  <si>
    <t>GUI_RT09</t>
  </si>
  <si>
    <t>Panel "Hoạt động gần đây" khi chưa có báo cáo</t>
  </si>
  <si>
    <t>Nhìn vào panel bên phải</t>
  </si>
  <si>
    <t>Chưa gửi báo cáo nào</t>
  </si>
  <si>
    <t>Hiển thị dòng "Chưa có báo cáo nào." căn giữa.</t>
  </si>
  <si>
    <t>GUI_RT10</t>
  </si>
  <si>
    <t>Panel "Hoạt động gần đây" khi có báo cáo</t>
  </si>
  <si>
    <t>Nhìn panel sau khi gửi ít nhất 1 báo cáo</t>
  </si>
  <si>
    <t>Đã có báo cáo</t>
  </si>
  <si>
    <t>Hiển thị tối đa 3 báo cáo gần nhất; mỗi báo cáo gồm: ảnh nhỏ (hoặc ô "?" nếu không có ảnh), loại sự cố, mô tả ngắn, giờ gửi và biểu tượng trạng thái (xanh = đã duyệt, đỏ = bị từ chối, vàng = chờ).</t>
  </si>
  <si>
    <t>GUI_RT11</t>
  </si>
  <si>
    <t>Hiển thị lý do từ chối trong panel</t>
  </si>
  <si>
    <t>Nhìn vào báo cáo bị từ chối</t>
  </si>
  <si>
    <t>Có &gt;= 1 báo cáo bị từ chối kèm lý do</t>
  </si>
  <si>
    <t>Bên dưới báo cáo đó xuất hiện dòng đỏ "Lý do: [nội dung]".</t>
  </si>
  <si>
    <t>GUI_RT12</t>
  </si>
  <si>
    <t>Badge bảo mật cuối trang</t>
  </si>
  <si>
    <t>Nhìn cuối cột bên phải</t>
  </si>
  <si>
    <t>Có ô nhỏ chứa biểu tượng khiên và chú thích bảo mật dữ liệu.</t>
  </si>
  <si>
    <t>FUNCTION_SHOW BÁO CÁO ĐIỂM NÓNG</t>
  </si>
  <si>
    <t>FUNC_RT01</t>
  </si>
  <si>
    <t>Chọn ảnh qua nút nhấn</t>
  </si>
  <si>
    <t>Nhấn vào khung ảnh -&gt; chọn file ảnh .jpg hoặc .png</t>
  </si>
  <si>
    <t>Ảnh xem trước hiển thị ngay trong khung, vừa khít với viền.</t>
  </si>
  <si>
    <t>FUNC_RT02</t>
  </si>
  <si>
    <t>Gửi báo cáo không cần ảnh</t>
  </si>
  <si>
    <t>Bỏ qua bước chọn ảnh, điền đủ vị trí + mô tả -&gt; nhấn Gửi</t>
  </si>
  <si>
    <t>Đã có vị trí GPS và mô tả</t>
  </si>
  <si>
    <t>Báo cáo gửi thành công. Ảnh là tùy chọn, không bắt buộc.</t>
  </si>
  <si>
    <t>FUNC_RT03</t>
  </si>
  <si>
    <t>Lấy vị trí GPS thành công</t>
  </si>
  <si>
    <t>Nhấn "Lấy tọa độ GPS hiện tại"</t>
  </si>
  <si>
    <t>Trình duyệt đã được cấp quyền vị trí</t>
  </si>
  <si>
    <t>Trong lúc chờ hiện "Đang lấy vị trí..."; sau đó cập nhật thành địa chỉ thực tế hoặc cặp tọa độ.</t>
  </si>
  <si>
    <t>FUNC_RT04</t>
  </si>
  <si>
    <t>Lấy vị trí khi bị từ chối quyền</t>
  </si>
  <si>
    <t>Nhấn nút GPS khi trình duyệt đã từ chối quyền vị trí</t>
  </si>
  <si>
    <t>Trình duyệt từ chối geolocation</t>
  </si>
  <si>
    <t>Thông báo lỗi hiện lên; vị trí đổi thành "Chưa có vị trí".</t>
  </si>
  <si>
    <t>FUNC_RT05</t>
  </si>
  <si>
    <t>Lấy vị trí trên trình duyệt cũ</t>
  </si>
  <si>
    <t>Dùng trình duyệt không hỗ trợ Geolocation</t>
  </si>
  <si>
    <t>Thông báo "Trình duyệt không hỗ trợ Geolocation."</t>
  </si>
  <si>
    <t>FUNC_RT06</t>
  </si>
  <si>
    <t>Gửi khi bỏ trống mô tả</t>
  </si>
  <si>
    <t>Nhấn Gửi khi ô mô tả trống</t>
  </si>
  <si>
    <t>Đã có vị trí GPS</t>
  </si>
  <si>
    <t>Cảnh báo "Vui lòng nhập mô tả." — báo cáo không được gửi.</t>
  </si>
  <si>
    <t>FUNC_RT07</t>
  </si>
  <si>
    <t>Gửi khi chưa lấy vị trí</t>
  </si>
  <si>
    <t>Điền mô tả nhưng bỏ qua bước lấy GPS -&gt; nhấn Gửi</t>
  </si>
  <si>
    <t>Cảnh báo "Vui lòng lấy vị trí hiện tại." — báo cáo không được gửi.</t>
  </si>
  <si>
    <t>FUNC_RT08</t>
  </si>
  <si>
    <t>Gửi thành công đầy đủ thông tin</t>
  </si>
  <si>
    <t>Điền đủ vị trí GPS + loại sự cố + mô tả -&gt; nhấn Gửi</t>
  </si>
  <si>
    <t>Nút đổi thành "Đang gửi..." và mờ trong lúc chờ. Sau đó thông báo "Báo cáo đã được gửi thành công!", form tự xóa sạch về giá trị ban đầu.</t>
  </si>
  <si>
    <t>FUNC_RT09</t>
  </si>
  <si>
    <t>Panel bên phải tự cập nhật sau khi gửi</t>
  </si>
  <si>
    <t>Nhìn panel "Hoạt động gần đây" ngay sau khi gửi thành công</t>
  </si>
  <si>
    <t>Gửi báo cáo thành công</t>
  </si>
  <si>
    <t>Báo cáo mới xuất hiện ở đầu danh sách với trạng thái ⏱ (Chờ duyệt).</t>
  </si>
  <si>
    <t>FUNC_RT10</t>
  </si>
  <si>
    <t>Gửi khi mất kết nối mạng</t>
  </si>
  <si>
    <t>Gửi báo cáo trong khi mạng bị rớt</t>
  </si>
  <si>
    <t>Thông báo "Lỗi kết nối server." — nút trở lại bình thường để thử lại.</t>
  </si>
  <si>
    <t>FUNC_RT11</t>
  </si>
  <si>
    <t>Tự tải danh sách báo cáo khi vào trang</t>
  </si>
  <si>
    <t>Mở tab "Báo cáo điểm nóng"</t>
  </si>
  <si>
    <t>Đã đăng nhập</t>
  </si>
  <si>
    <t>Hệ thống ngay lập tức tải danh sách báo cáo của tài khoản đang đăng nhập về panel bên phải.</t>
  </si>
  <si>
    <t>FUNC_RT12</t>
  </si>
  <si>
    <t>Không tải dữ liệu khi chưa đăng nhập</t>
  </si>
  <si>
    <t>Vào tab khi chưa đăng nhập</t>
  </si>
  <si>
    <t>Panel bên phải không gọi API, hiển thị "Chưa có báo cáo nào."</t>
  </si>
  <si>
    <t>FUNC_RT13</t>
  </si>
  <si>
    <t>Không có token đăng nhập</t>
  </si>
  <si>
    <t>Gửi yêu cầu tạo báo cáo không kèm thông tin đăng nhập</t>
  </si>
  <si>
    <t>Máy chủ từ chối: HTTP 401 Unauthorized.</t>
  </si>
  <si>
    <t>FUNC_RT14</t>
  </si>
  <si>
    <t>Mô tả trống</t>
  </si>
  <si>
    <t>Gửi form với mô tả trống</t>
  </si>
  <si>
    <t>Máy chủ từ chối: HTTP 400 — "Vui lòng nhập mô tả báo cáo."</t>
  </si>
  <si>
    <t>FUNC_RT15</t>
  </si>
  <si>
    <t>Tọa độ không hợp lệ (0, 0)</t>
  </si>
  <si>
    <t>Gửi latitude=0 và longitude=0</t>
  </si>
  <si>
    <t>Máy chủ từ chối: HTTP 400 — "Vui lòng cung cấp tọa độ hợp lệ."</t>
  </si>
  <si>
    <t>FUNC_RT16</t>
  </si>
  <si>
    <t>Tải file không phải ảnh</t>
  </si>
  <si>
    <t>Đính kèm file .pdf hoặc .exe</t>
  </si>
  <si>
    <t>Máy chủ từ chối: HTTP 400 — "Chỉ chấp nhận file ảnh (jpg, png, gif, webp)."</t>
  </si>
  <si>
    <t>FUNC_RT17</t>
  </si>
  <si>
    <t>Ảnh vượt quá 10 MB</t>
  </si>
  <si>
    <t>Đính kèm file ảnh &gt; 10 MB</t>
  </si>
  <si>
    <t>Máy chủ từ chối: HTTP 400 — "Kích thước ảnh không được vượt quá 10MB."</t>
  </si>
  <si>
    <t>FUNC_RT18</t>
  </si>
  <si>
    <t>Tạo báo cáo thành công và tính thời gian tự ẩn</t>
  </si>
  <si>
    <t>Gửi báo cáo loại "Cháy nổ / Khói bụi" đầy đủ</t>
  </si>
  <si>
    <t>Máy chủ trả về HTTP 200, kèm reportId, status: "Pending", thời điểm hết hạn ≈ giờ gửi + 2 giờ.</t>
  </si>
  <si>
    <t>FUNC_RT19</t>
  </si>
  <si>
    <t>Thời gian tự ẩn đúng cho từng loại</t>
  </si>
  <si>
    <t>Gửi lần lượt 4 loại báo cáo khác nhau</t>
  </si>
  <si>
    <t>Cháy nổ -&gt; +2h • Mùi hôi -&gt; +6h • Xả thải -&gt; +24h • Khác -&gt; +12h.</t>
  </si>
  <si>
    <t>Duyệt báo cáo điểm nóng</t>
  </si>
  <si>
    <t>GUI_SHOW DUYỆT BÁO CÁO ĐIỂM NÓNG</t>
  </si>
  <si>
    <t>GUI_DT01</t>
  </si>
  <si>
    <t>Tiêu đề trang quản trị</t>
  </si>
  <si>
    <t>Dòng nhỏ "Duyệt báo cáo cộng đồng" bên trên, tiêu đề lớn "Kiểm duyệt báo cáo người dùng" bên dưới.</t>
  </si>
  <si>
    <t>GUI_DT02</t>
  </si>
  <si>
    <t>4 thẻ thống kê</t>
  </si>
  <si>
    <t>Nhìn vào hàng thẻ số liệu</t>
  </si>
  <si>
    <t>4 thẻ: Tổng báo cáo, Chờ duyệt, Đã duyệt, Từ chối - mỗi thẻ hiện số lớn đậm. Thẻ đang được chọn để lọc thì có viền xanh lá và nền xanh nhạt.</t>
  </si>
  <si>
    <t>GUI_DT03</t>
  </si>
  <si>
    <t>Thanh tìm kiếm</t>
  </si>
  <si>
    <t>Nhìn vào ô tìm kiếm</t>
  </si>
  <si>
    <t>Ô nhập dài, gợi ý "Tìm theo mô tả, tên người báo cáo, email..." và nút "Tìm kiếm" màu xanh lá bên phải.</t>
  </si>
  <si>
    <t>GUI_DT04</t>
  </si>
  <si>
    <t>Dòng thông tin trên bảng</t>
  </si>
  <si>
    <t>Nhìn phía trên bảng danh sách</t>
  </si>
  <si>
    <t>Hiển thị bộ lọc đang áp dụng kèm số kết quả, ví dụ: "Tất cả báo cáo – 15 kết quả".</t>
  </si>
  <si>
    <t>GUI_DT05</t>
  </si>
  <si>
    <t>Bố cục một dòng trong bảng</t>
  </si>
  <si>
    <t>Nhìn vào 1 dòng báo cáo bất kỳ</t>
  </si>
  <si>
    <t>Có &gt;= 1 báo cáo</t>
  </si>
  <si>
    <t>5 cột: (1) Ảnh nhỏ, (2) Tên + email + mã #ID + thời gian, (3) Mô tả + tọa độ, (4) Nhãn trạng thái, (5) Nút Duyệt (xanh) và Từ chối (đỏ).</t>
  </si>
  <si>
    <t>GUI_DT06</t>
  </si>
  <si>
    <t>Màu sắc nhãn trạng thái</t>
  </si>
  <si>
    <t>Nhìn vào cột trạng thái</t>
  </si>
  <si>
    <t>Chờ duyệt - chữ vàng, nền vàng nhạt. Đã duyệt - chữ xanh lá, nền xanh nhạt. Từ chối - chữ đỏ nhạt, nền đỏ nhạt.</t>
  </si>
  <si>
    <t>GUI_DT07</t>
  </si>
  <si>
    <t>Hiển thị lý do từ chối trong bảng</t>
  </si>
  <si>
    <t>Nhìn dòng có trạng thái "Từ chối"</t>
  </si>
  <si>
    <t>Có &gt;= 1 báo cáo bị từ chối</t>
  </si>
  <si>
    <t>Phần mô tả có thêm dòng nhỏ màu đỏ: "Lý do từ chối: [nội dung]".</t>
  </si>
  <si>
    <t>GUI_DT08</t>
  </si>
  <si>
    <t>Báo cáo không có ảnh</t>
  </si>
  <si>
    <t>Nhìn cột ảnh của báo cáo không đính ảnh</t>
  </si>
  <si>
    <t>Ô ảnh hiển thị hình chữ nhật xám trống, không bị lỗi vỡ layout.</t>
  </si>
  <si>
    <t>GUI_DT09</t>
  </si>
  <si>
    <t>Thanh chuyển trang</t>
  </si>
  <si>
    <t>Nhìn cuối bảng</t>
  </si>
  <si>
    <t>Nhãn "Trang X / Y" bên trái và 2 nút Trước / Sau bên phải.</t>
  </si>
  <si>
    <t>GUI_DT10</t>
  </si>
  <si>
    <t>Thông báo không có kết quả</t>
  </si>
  <si>
    <t>Áp dụng bộ lọc không khớp báo cáo nào</t>
  </si>
  <si>
    <t>Dòng chữ xám "Không có báo cáo phù hợp bộ lọc." hiện giữa bảng.</t>
  </si>
  <si>
    <t>GUI_DT11</t>
  </si>
  <si>
    <t>Màn hình đang tải</t>
  </si>
  <si>
    <t>Quan sát khi API chưa trả về</t>
  </si>
  <si>
    <t>Đang gọi API</t>
  </si>
  <si>
    <t>Dòng "Đang tải dữ liệu..." thay thế bảng trong lúc chờ.</t>
  </si>
  <si>
    <t>GUI_DT12</t>
  </si>
  <si>
    <t>Thông báo lỗi kết nối</t>
  </si>
  <si>
    <t>Khi máy chủ báo lỗi</t>
  </si>
  <si>
    <t>Máy chủ lỗi</t>
  </si>
  <si>
    <t>Dòng chữ đỏ nhạt hiển thị nội dung lỗi thay thế bảng.</t>
  </si>
  <si>
    <t>FUNCTION_SHOW DUYỆT BÁO CÁO ĐIỂM NÓNG</t>
  </si>
  <si>
    <t>FUNC_DT01</t>
  </si>
  <si>
    <t>Tự tải danh sách khi vào trang</t>
  </si>
  <si>
    <t>Mở trang duyệt báo cáo</t>
  </si>
  <si>
    <t>Đăng nhập là Admin</t>
  </si>
  <si>
    <t>Trang tự gọi API, điền đầy đủ danh sách báo cáo và 4 thẻ số liệu ngay khi hiển thị.</t>
  </si>
  <si>
    <t>FUNC_DT02</t>
  </si>
  <si>
    <t>Tổng = Chờ + Duyệt + Từ chối</t>
  </si>
  <si>
    <t>Nhìn 4 thẻ số liệu</t>
  </si>
  <si>
    <t>Số trong thẻ Tổng báo cáo luôn bằng tổng của 3 thẻ còn lại.</t>
  </si>
  <si>
    <t>FUNC_DT03</t>
  </si>
  <si>
    <t>Nhấn thẻ để lọc "Tất cả"</t>
  </si>
  <si>
    <t>Nhấn thẻ Tổng báo cáo</t>
  </si>
  <si>
    <t>Bảng hiển thị toàn bộ báo cáo không giới hạn trạng thái. Trang phân trang về 1.</t>
  </si>
  <si>
    <t>FUNC_DT04</t>
  </si>
  <si>
    <t>Lọc chỉ báo cáo đang chờ</t>
  </si>
  <si>
    <t>Nhấn thẻ Chờ duyệt</t>
  </si>
  <si>
    <t>Bảng chỉ hiện báo cáo có trạng thái Chờ duyệt.</t>
  </si>
  <si>
    <t>FUNC_DT05</t>
  </si>
  <si>
    <t>Lọc chỉ báo cáo đã duyệt</t>
  </si>
  <si>
    <t>Nhấn thẻ Đã duyệt</t>
  </si>
  <si>
    <t>Bảng chỉ hiện báo cáo đã được duyệt.</t>
  </si>
  <si>
    <t>FUNC_DT06</t>
  </si>
  <si>
    <t>Lọc chỉ báo cáo bị từ chối</t>
  </si>
  <si>
    <t>Nhấn thẻ Từ chối</t>
  </si>
  <si>
    <t>Bảng chỉ hiện báo cáo bị từ chối.</t>
  </si>
  <si>
    <t>FUNC_DT07</t>
  </si>
  <si>
    <t>Tìm kiếm theo nội dung mô tả</t>
  </si>
  <si>
    <t>Gõ từ khóa -&gt; nhấn Enter</t>
  </si>
  <si>
    <t>Có báo cáo chứa từ khóa</t>
  </si>
  <si>
    <t>Bảng chỉ hiện báo cáo có mô tả chứa từ khóa đó. Trang về 1.</t>
  </si>
  <si>
    <t>FUNC_DT08</t>
  </si>
  <si>
    <t>Tìm kiếm theo tên người báo cáo</t>
  </si>
  <si>
    <t>Gõ tên -&gt; nhấn Enter hoặc nút Tìm kiếm</t>
  </si>
  <si>
    <t>Bảng hiện báo cáo của người có tên khớp.</t>
  </si>
  <si>
    <t>FUNC_DT09</t>
  </si>
  <si>
    <t>Tìm kiếm theo email</t>
  </si>
  <si>
    <t>Gõ email -&gt; nhấn Enter</t>
  </si>
  <si>
    <t>Bảng hiện báo cáo của email đó.</t>
  </si>
  <si>
    <t>FUNC_DT10</t>
  </si>
  <si>
    <t>Kết hợp lọc trạng thái + từ khóa</t>
  </si>
  <si>
    <t>Chọn "Chờ duyệt" rồi gõ từ khóa</t>
  </si>
  <si>
    <t>Bảng chỉ hiện báo cáo vừa ở trạng thái Chờ vừa khớp từ khóa.</t>
  </si>
  <si>
    <t>FUNC_DT11</t>
  </si>
  <si>
    <t>Duyệt một báo cáo</t>
  </si>
  <si>
    <t>Tìm báo cáo đang chờ -&gt; nhấn Duyệt</t>
  </si>
  <si>
    <t>Báo cáo đang ở trạng thái Chờ</t>
  </si>
  <si>
    <t>Bảng tự tải lại; nhãn trạng thái của báo cáo đó đổi thành Đã duyệt màu xanh.</t>
  </si>
  <si>
    <t>FUNC_DT12</t>
  </si>
  <si>
    <t>Thời gian hết hạn được tính lại khi duyệt</t>
  </si>
  <si>
    <t>Duyệt 1 báo cáo và kiểm tra trong CSDL</t>
  </si>
  <si>
    <t>Báo cáo được duyệt thành công</t>
  </si>
  <si>
    <t>Trường </t>
  </si>
  <si>
    <t>ExpiresAt trong CSDL = thời điểm duyệt + thời gian TTL của loại báo cáo.</t>
  </si>
  <si>
    <t>FUNC_DT13</t>
  </si>
  <si>
    <t>Khóa nút sau khi đã xử lý</t>
  </si>
  <si>
    <t>Nhìn vào nút của báo cáo đã duyệt hoặc từ chối</t>
  </si>
  <si>
    <t>Cả 2 nút "Duyệt" và "Từ chối" đều mờ nhạt và không thể nhấn.</t>
  </si>
  <si>
    <t>FUNC_DT14</t>
  </si>
  <si>
    <t>4 thẻ thống kê cập nhật sau khi duyệt</t>
  </si>
  <si>
    <t>Nhìn 4 thẻ số sau khi duyệt thành công</t>
  </si>
  <si>
    <t>Thẻ Chờ duyệt giảm 1; Đã duyệt tăng 1; Tổng không thay đổi.</t>
  </si>
  <si>
    <t>FUNC_DT15</t>
  </si>
  <si>
    <t>Từ chối và nhập lý do</t>
  </si>
  <si>
    <t>Nhấn Từ chối -&gt; nhập lý do trong ô hỏi -&gt; nhấn OK</t>
  </si>
  <si>
    <t>Báo cáo đang chờ duyệt</t>
  </si>
  <si>
    <t>Bảng tải lại; nhãn đổi thành Từ chối màu đỏ và hiển thị lý do ngay trong bảng.</t>
  </si>
  <si>
    <t>FUNC_DT16</t>
  </si>
  <si>
    <t>Hủy khi đang nhập lý do từ chối</t>
  </si>
  <si>
    <t>Nhấn Từ chối -&gt; nhấn Cancel trong ô hỏi</t>
  </si>
  <si>
    <t>Không có gì thay đổi; báo cáo vẫn ở trạng thái Chờ duyệt.</t>
  </si>
  <si>
    <t>FUNC_DT17</t>
  </si>
  <si>
    <t>Từ chối nhưng bỏ trống lý do</t>
  </si>
  <si>
    <t>Nhấn Từ chối -&gt; xóa hết nội dung ô hỏi -&gt; nhấn OK</t>
  </si>
  <si>
    <t>Thông báo lỗi cục bộ "Bạn cần nhập lý do từ chối." - không gọi API.</t>
  </si>
  <si>
    <t>FUNC_DT18</t>
  </si>
  <si>
    <t>4 thẻ cập nhật sau khi từ chối</t>
  </si>
  <si>
    <t>Nhìn 4 thẻ sau khi từ chối thành công</t>
  </si>
  <si>
    <t>Thẻ Chờ duyệt giảm 1; Từ chối tăng 1.</t>
  </si>
  <si>
    <t>FUNC_DT19</t>
  </si>
  <si>
    <t>Sang trang tiếp theo</t>
  </si>
  <si>
    <t>Nhấn nút Sau</t>
  </si>
  <si>
    <t>Có &gt; 10 báo cáo</t>
  </si>
  <si>
    <t>Bảng hiển thị trang tiếp theo; nhãn "Trang X/Y" cập nhật đúng.</t>
  </si>
  <si>
    <t>FUNC_DT20</t>
  </si>
  <si>
    <t>Quay lại trang trước</t>
  </si>
  <si>
    <t>Nhấn nút Trước khi đang ở trang &gt;= 2</t>
  </si>
  <si>
    <t>Bảng hiển thị trang trước; nhãn cập nhật.</t>
  </si>
  <si>
    <t>FUNC_DT21</t>
  </si>
  <si>
    <t>Nút phân trang bị khóa ở trang đầu/cuối</t>
  </si>
  <si>
    <t>Nhìn trạng thái 2 nút khi ở đầu hoặc cuối</t>
  </si>
  <si>
    <t>Ở trang 1: nút Trước mờ và không bấm được. Ở trang cuối: nút Sau mờ và không bấm được.</t>
  </si>
  <si>
    <t>FUNC_DT22</t>
  </si>
  <si>
    <t>Đổi bộ lọc tự reset về trang 1</t>
  </si>
  <si>
    <t>Đang ở trang 3 -&gt; nhấn thẻ "Chờ duyệt"</t>
  </si>
  <si>
    <t>Bảng tải lại từ trang 1 với bộ lọc mới.</t>
  </si>
  <si>
    <t>FUNC_DT23</t>
  </si>
  <si>
    <t>Từ chối truy cập với tài khoản thường</t>
  </si>
  <si>
    <t>Gọi API danh sách báo cáo admin với token User thường</t>
  </si>
  <si>
    <t>Máy chủ từ chối: HTTP 403 Forbidden.</t>
  </si>
  <si>
    <t>FUNC_DT24</t>
  </si>
  <si>
    <t>Gửi trạng thái không tồn tại</t>
  </si>
  <si>
    <t>Cập nhật trạng thái thành "SomethingWrong"</t>
  </si>
  <si>
    <t>Đăng nhập Admin</t>
  </si>
  <si>
    <t>HTTP 400 - "Trạng thái không hợp lệ. Chỉ hỗ trợ Pending, Approved, Rejected."</t>
  </si>
  <si>
    <t>FUNC_DT25</t>
  </si>
  <si>
    <t>Từ chối không kèm lý do</t>
  </si>
  <si>
    <t>Cập nhật trạng thái thành Rejected với lý do rỗng</t>
  </si>
  <si>
    <t>HTTP 400 - "Vui lòng nhập lý do từ chối báo cáo."</t>
  </si>
  <si>
    <t>FUNC_DT26</t>
  </si>
  <si>
    <t>Lý do từ chối quá dài</t>
  </si>
  <si>
    <t>Gửi lý do dài hơn 500 ký tự</t>
  </si>
  <si>
    <t>HTTP 400 - "Lý do từ chối không được vượt quá 500 ký tự."</t>
  </si>
  <si>
    <t>FUNC_DT27</t>
  </si>
  <si>
    <t>Duyệt ID không tồn tại</t>
  </si>
  <si>
    <t>Cập nhật báo cáo ID không có trong hệ thống</t>
  </si>
  <si>
    <t>HTTP 404 - "Không tìm thấy báo cáo cần cập nhật."</t>
  </si>
  <si>
    <t>FUNC_DT28</t>
  </si>
  <si>
    <t>Không cho xử lý lại báo cáo đã xong</t>
  </si>
  <si>
    <t>Cập nhật lại báo cáo đã Duyệt hoặc đã Từ chối</t>
  </si>
  <si>
    <t>HTTP 400 - "Báo cáo đã được xử lý trước đó và không thể thay đổi."</t>
  </si>
  <si>
    <t>FUNC_DT29</t>
  </si>
  <si>
    <t>Kết hợp lọc + tìm kiếm + phân trang</t>
  </si>
  <si>
    <t>Gọi API với status=Pending&amp;q=khói&amp;page=1&amp;pageSize=10</t>
  </si>
  <si>
    <t>HTTP 200 - danh sách chỉ chứa báo cáo Chờ duyệt có chứa từ "khói"; totalCount đúng.</t>
  </si>
  <si>
    <t>FUNC_DT30</t>
  </si>
  <si>
    <t>Bản đồ không hiện báo cáo đã hết hạn</t>
  </si>
  <si>
    <t>Gọi API bản đồ sau khi 1 báo cáo đã hết hạn </t>
  </si>
  <si>
    <t>HTTP 200 - danh sách bản đồ không chứa báo cáo đó.</t>
  </si>
  <si>
    <t>FUNC_DT31</t>
  </si>
  <si>
    <t>Bản đồ không hiện báo cáo đang chờ duyệt</t>
  </si>
  <si>
    <t>Gọi API bản đồ khi có báo cáo Pending trong hệ thống</t>
  </si>
  <si>
    <t>HTTP 200 - danh sách bản đồ chỉ chứa báo cáo đã được duyệt còn hiệu lực.</t>
  </si>
  <si>
    <t>GUI_SHOW DASHBOARD NGƯỜI DÙNG</t>
  </si>
  <si>
    <t>GUI_DB01</t>
  </si>
  <si>
    <t>Menu thanh bên (Sidebar)</t>
  </si>
  <si>
    <t>Nhìn cột bên trái</t>
  </si>
  <si>
    <t>Hiển thị 8 menu: Tổng quan, Địa điểm, Bản đồ &amp; Tìm đường, Lịch sử, Cấu hình cảnh báo, Báo cáo, API Key, Hồ sơ. Dưới cùng có phần Cài đặt và Đăng xuất.</t>
  </si>
  <si>
    <t>GUI_DB02</t>
  </si>
  <si>
    <t>Đổi trạng thái tab đang xem</t>
  </si>
  <si>
    <t>Bấm vào 1 mục (VD: Báo cáo) trên Sidebar</t>
  </si>
  <si>
    <t>Nền muc đó đổi xanh nhạt, nội dung trên màn hình bên phải chuyển sang chức năng tương ứng. Dải dẫn đường (Breadcrumb) báo "Dashboard › Báo cáo điểm nóng".</t>
  </si>
  <si>
    <t>GUI_DB03</t>
  </si>
  <si>
    <t>Badge "PRO" của người dùng</t>
  </si>
  <si>
    <t>Nhìn tên ở Sidebar (dưới góc trái)</t>
  </si>
  <si>
    <t>Tài khoản đã lên Pro</t>
  </si>
  <si>
    <t>Nhãn vàng nhỏ chữ "PRO" xuất hiện ngay dưới tên người dùng. Nếu Free thì không có.</t>
  </si>
  <si>
    <t>GUI_DB04</t>
  </si>
  <si>
    <t>Banner lời chào (Header)</t>
  </si>
  <si>
    <t>Nhìn khung ngang phía trên</t>
  </si>
  <si>
    <t>Hiện chữ "Chào mừng trở lại / Xin chào [Tên]!" và thông điệp động.</t>
  </si>
  <si>
    <t>GUI_DB05</t>
  </si>
  <si>
    <t>Nút Nâng cấp màn hình chính</t>
  </si>
  <si>
    <t>Nhìn Header (góc trên bên phải)</t>
  </si>
  <si>
    <t>Tài khoản Free</t>
  </si>
  <si>
    <t>Nút vàng "Nâng cấp Pro" xuất hiện để dẫn về trang báo giá.</t>
  </si>
  <si>
    <t>GUI_DB06</t>
  </si>
  <si>
    <t>Trạng thái "Đang tải"</t>
  </si>
  <si>
    <t>Mở tab Tổng quan</t>
  </si>
  <si>
    <t>Dữ liệu chưa trả về hết</t>
  </si>
  <si>
    <t>Hiển thị giữa màn hình dòng "Đang tải dashboard tổng quan...".</t>
  </si>
  <si>
    <t>GUI_DB07</t>
  </si>
  <si>
    <t>Banner xanh gradient tổng thể</t>
  </si>
  <si>
    <t>Nhìn phần banner to nhất ở tab Tổng quan</t>
  </si>
  <si>
    <t>Load xong</t>
  </si>
  <si>
    <t>Câu khuyên dùng theo AQI (Ví dụ: "hôm nay không khí khá ổn").</t>
  </si>
  <si>
    <t>GUI_DB08</t>
  </si>
  <si>
    <t>Chuyển đổi Nguồn dữ liệu (City / Station)</t>
  </si>
  <si>
    <t>Nhìn hộp bên phải Banner</t>
  </si>
  <si>
    <t>Đã có trạm và thành phố ưu thích</t>
  </si>
  <si>
    <t>Hiện 2 nút: "Thành phố" và "Trạm yêu thích". Chọn cái nào thì tên phía trên hiển thị theo.</t>
  </si>
  <si>
    <t>GUI_DB09</t>
  </si>
  <si>
    <t>Nút Trạm yêu thích bị mờ</t>
  </si>
  <si>
    <t>Nhìn nút trong Nguồn dữ liệu</t>
  </si>
  <si>
    <t>Người dùng chưa lưu trạm nào</t>
  </si>
  <si>
    <t>Nút "Trạm yêu thích" mờ màu, không cho phép bấm. Trỏ chuột báo cấm.</t>
  </si>
  <si>
    <t>GUI_DB10</t>
  </si>
  <si>
    <t>Bốn khối thẻ KPI tĩnh</t>
  </si>
  <si>
    <t>Nhìn ngang dưới banner</t>
  </si>
  <si>
    <t>Hiển thị 4 thẻ: AQI hiện tại, PM2.5 hiện tại, Địa điểm yêu thích, Cảnh báo đang bật.</t>
  </si>
  <si>
    <t>GUI_DB11</t>
  </si>
  <si>
    <t>Màu KPI AQI thay đổi theo chất lượng</t>
  </si>
  <si>
    <t>Nhìn khối KPI "AQI hiện tại"</t>
  </si>
  <si>
    <t>AQI &gt; 150 (Xấu)</t>
  </si>
  <si>
    <t>Số bôi màu Đỏ (hoặc mầu khác tương ứng giới hạn EPA).</t>
  </si>
  <si>
    <t>GUI_DB12</t>
  </si>
  <si>
    <t>Biểu đồ lịch sử 24h</t>
  </si>
  <si>
    <t>Cuộn xuống vùng "Xu hướng chất lượng"</t>
  </si>
  <si>
    <t>Có lịch sử</t>
  </si>
  <si>
    <t>Biểu đồ diện tích 2 đường cong AQI (Xanh lá) và PM2.5 (Xanh dương). Rê chuột vào sẽ hiện chú thích giờ đó.</t>
  </si>
  <si>
    <t>GUI_DB13</t>
  </si>
  <si>
    <t>Ba thẻ tóm tắt dưới biểu đồ</t>
  </si>
  <si>
    <t>Dưới biểu đồ 24h</t>
  </si>
  <si>
    <t>3 khối nhỏ hiển thị: Trung bình 24h AQI, PM2.5 trung bình, và "Mức cảnh báo" (Ví dụ: Tốt, Kém).</t>
  </si>
  <si>
    <t>GUI_DB14</t>
  </si>
  <si>
    <t>Thẻ nâng cấp (Tài khoản của bạn)</t>
  </si>
  <si>
    <t>Nhìn thẻ "Tài khoản của bạn"</t>
  </si>
  <si>
    <t>Người dùng hệ Free</t>
  </si>
  <si>
    <t>Trình bày cấp là "Free", quyền lợi khuyết, kèm dòng mô tả ngắn và một nút vàng to dưới cùng dẫn sang "/goi".</t>
  </si>
  <si>
    <t>GUI_DB15</t>
  </si>
  <si>
    <t>Vắng bóng Thẻ chuyển gói khi đã Pro</t>
  </si>
  <si>
    <t>Người dùng PRO</t>
  </si>
  <si>
    <t>Chữ to "PRO", không hiển thị nút Nâng cấp.</t>
  </si>
  <si>
    <t>GUI_DB16</t>
  </si>
  <si>
    <t>Khung giờ rủi ro cao</t>
  </si>
  <si>
    <t>Đoạn cuối màn hình phải</t>
  </si>
  <si>
    <t>Có biến động PM2.5</t>
  </si>
  <si>
    <t>Dưới dạng danh sách, mốc cao nhất ở trên cùng được tô màu nổi hơn các mốc phụ.</t>
  </si>
  <si>
    <t>FUNCTION_SHOW DASHBOARD NGƯỜI DÙNG</t>
  </si>
  <si>
    <t>FUNC_DB01</t>
  </si>
  <si>
    <t>Đăng xuất khỏi hệ thống</t>
  </si>
  <si>
    <t>Nhấn nút Đăng xuất ở cột Sidebar</t>
  </si>
  <si>
    <t>Đang trong Dashboard</t>
  </si>
  <si>
    <t>Hệ thống xóa token, quay về màn hình ngoài (Trang chủ/Đăng nhập gốc).</t>
  </si>
  <si>
    <t>FUNC_DB02</t>
  </si>
  <si>
    <t>Tính tự động: Trung bình AQI/PM2.5</t>
  </si>
  <si>
    <t>Nhìn 3 khối nhỏ dưới biểu đồ AQI 24h</t>
  </si>
  <si>
    <t>Có mảng dữ liệu 24 giờ</t>
  </si>
  <si>
    <t>Form số lấy tổng giá trị chia độ dài mảng ra số (Làm tròn không có số thập phân ở AQI và 1 số phẩy ở PM2.5).</t>
  </si>
  <si>
    <t>FUNC_DB03</t>
  </si>
  <si>
    <t>Logic tính: Gợi ý sức khỏe</t>
  </si>
  <si>
    <t>Tích vào hồ sơ bệnh "Hen suyễn" -&gt; Nhìn bảng "Mẹo hôm nay"</t>
  </si>
  <si>
    <t>Có Profile trả về chứa Hen/COPD</t>
  </si>
  <si>
    <t>Mảng lời khuyên chủ động bổ sung text: "Với nhóm hô hấp nhạy cảm, AQI xxx hiện tại nên được theo dõi sát...". Nếu AQI tốt sẽ kèm theo "Không khí an toàn cho mọi người."</t>
  </si>
  <si>
    <t>FUNC_DB04</t>
  </si>
  <si>
    <t>Logic tính: Địa điểm cảnh báo nhất</t>
  </si>
  <si>
    <t>Nhìn thẻ KPI biểu tượng</t>
  </si>
  <si>
    <t>Người dùng có lưu nhiều Trạm/City</t>
  </si>
  <si>
    <t>Địa điểm có điểm số hiển thị AQI cao nhất được in tên vào ô mô tả nhỏ: "Điểm cần lưu ý: [Tên]".</t>
  </si>
  <si>
    <t>FUNC_DB05</t>
  </si>
  <si>
    <t>Chuyển luồng bằng Nút Nâng cấp</t>
  </si>
  <si>
    <t>Nhấp Nút Nâng cấp Pro (Header hoặc Thẻ giới thiệu)</t>
  </si>
  <si>
    <t>Dashboard đẩy Route điều hướng ra URL /goi (PricingPage).</t>
  </si>
  <si>
    <t>FUNC_DB06</t>
  </si>
  <si>
    <t>Chuyển đổi trạng thái Tab qua Hành động nhanh</t>
  </si>
  <si>
    <t>Nhấn nút "Tim đường sạch" trong mục 6 ô vuông</t>
  </si>
  <si>
    <t>Route đổi ngay tab hiển thị (ActiveTab) thành MapRoutingTab, Sidebar nhảy qua trạng thái chọn Map tương ứng.</t>
  </si>
  <si>
    <t>FUNC_DB07</t>
  </si>
  <si>
    <t>Truy cập nhanh Quản lý địa điểm</t>
  </si>
  <si>
    <t>Nhấn nút "Quản lý địa điểm" bên mục yêu thích</t>
  </si>
  <si>
    <t>Tương tự FUNC_DB06, giao diện qua tab Quản lý địa điểm một cách trơn tru.</t>
  </si>
  <si>
    <t>FUNC_DB08</t>
  </si>
  <si>
    <t>Xem lịch sử đầy đủ từ biểu đồ</t>
  </si>
  <si>
    <t>Nhấn nút "Xem lịch sử đầy đủ" bên trên khối Biểu Đồ</t>
  </si>
  <si>
    <t>Tương tự chuyển sang tab HistoryExportTab.</t>
  </si>
  <si>
    <t>FUNC_DB09</t>
  </si>
  <si>
    <t>Mở nhanh cửa sổ Cảnh Báo</t>
  </si>
  <si>
    <t>Nhấn nút "Mở cấu hình cảnh báo" dưới khối "Cảnh báo cá nhân"</t>
  </si>
  <si>
    <t>ActiveTab nhảy qua </t>
  </si>
  <si>
    <t>AlertConfigTab.</t>
  </si>
  <si>
    <t>FUNC_DB10</t>
  </si>
  <si>
    <t>Chuyển đổi dữ liệu Biểu đồ (City ⇄ Thạm)</t>
  </si>
  <si>
    <t>Ấn vào nút Nguồn dữ liệu (ví dụ từ Thành phố sang Trạm yêu thích)</t>
  </si>
  <si>
    <t>Đang hiển thị ở tab khác, có sẵn 1 trạm yêu thích</t>
  </si>
  <si>
    <t>Biểu đồ, 3 thông số KPI phía dưới, Lời khuyên PM2.5 tự động tính lại toàn bộ theo chỉ số history 24h của API trạm mới sau ~500ms thay vì đứng yên.</t>
  </si>
  <si>
    <t>FUNC_DB11</t>
  </si>
  <si>
    <t>Xử lý lỗi sập Data API nội bộ</t>
  </si>
  <si>
    <t>Tắt mạng đột ngột lúc Dashboard chưa Fetch xong</t>
  </si>
  <si>
    <t>Fail 1 trong các luồng Request</t>
  </si>
  <si>
    <t>Giao diện không lỗi trắng trang, mà render dòng text an toàn "Không thể tải dữ liệu tổng quan lúc này." được bọc chữ Đỏ.</t>
  </si>
  <si>
    <t>FUNC_DB12</t>
  </si>
  <si>
    <t>Fallback logic cho Khung giờ Rủi ro</t>
  </si>
  <si>
    <t xml:space="preserve">Vùng Khung giờ bị rỗng </t>
  </si>
  <si>
    <t>Không đổ đc Data lịch sử</t>
  </si>
  <si>
    <t>Thay màn hình chart bằng mẩu "Chưa đủ dữ liệu để tính các khung giờ rủi ro cao."</t>
  </si>
  <si>
    <t>FUNC_DB13</t>
  </si>
  <si>
    <t>Mặc định tải tổng hợp song song</t>
  </si>
  <si>
    <t>User mở Dashboard chờ load tròn</t>
  </si>
  <si>
    <t>Login thành công</t>
  </si>
  <si>
    <t>Dashboard tạo khối Promise.allSettled gọi 6 endpoint: favorites, </t>
  </si>
  <si>
    <t>City, profile-health, my-reports, api-keys, alert-config.</t>
  </si>
  <si>
    <t>FUNC_DB14</t>
  </si>
  <si>
    <t>Hủy lấy Config Cảnh báo nếu Không Pro</t>
  </si>
  <si>
    <t>Truy cập Dashboard dưới bản Free</t>
  </si>
  <si>
    <t>Subscription = Free</t>
  </si>
  <si>
    <t>Biến ngắt alert-config sẽ fallback thành Promise.resolve(null) chặn gọi API để tránh lỗi HTTP 401 Unauthorized do Auth-tier.</t>
  </si>
  <si>
    <t>FUNC_DB15</t>
  </si>
  <si>
    <t>Request thay đổi luồng Đồ thị</t>
  </si>
  <si>
    <t>Nhấn nút chuyển Thành phố và Trạm yêu thích</t>
  </si>
  <si>
    <t>Có danh sách</t>
  </si>
  <si>
    <t>Phát sinh Network fetch đi /api/AirQuality/station/{id}/history?hours=24 HOẶC /api/City/{slug}/history?hours=24. Trả HTTP 200, cập nhật list array history.</t>
  </si>
  <si>
    <t>GUIDN01</t>
  </si>
  <si>
    <t>[Logo &amp; Tên] Label "EcoAir VN"</t>
  </si>
  <si>
    <t>Text color: green Status: enable</t>
  </si>
  <si>
    <t xml:space="preserve"> Text color: green Status: enable</t>
  </si>
  <si>
    <t>GUIDN02</t>
  </si>
  <si>
    <t>[Tiêu đề] Label "Chào mừng trở lại!"</t>
  </si>
  <si>
    <t xml:space="preserve"> Text color: black Status: enable</t>
  </si>
  <si>
    <t>GUIDN03</t>
  </si>
  <si>
    <t>[Mô tả] Label "Đăng nhập để theo dõi..."</t>
  </si>
  <si>
    <t xml:space="preserve"> Text color: dark gray Status: enable</t>
  </si>
  <si>
    <t>GUIDN04</t>
  </si>
  <si>
    <t>[Địa chỉ Email] Label</t>
  </si>
  <si>
    <t>GUIDN05</t>
  </si>
  <si>
    <t>[Địa chỉ Email] Textbox</t>
  </si>
  <si>
    <t xml:space="preserve"> Placeholder: "ví dụ: nguyenvan@email.com" Status: enable</t>
  </si>
  <si>
    <t>GUIDN06</t>
  </si>
  <si>
    <t>[Mật khẩu] Label</t>
  </si>
  <si>
    <t>GUIDN07</t>
  </si>
  <si>
    <t>[Quên mật khẩu?] Link</t>
  </si>
  <si>
    <t>GUIDN08</t>
  </si>
  <si>
    <t>[Mật khẩu] Textbox</t>
  </si>
  <si>
    <t>Masked text (dấu chấm) 
Có icon con mắt (show/hide) Status: enable</t>
  </si>
  <si>
    <t xml:space="preserve"> Masked text (dấu chấm)
Có icon con mắt (show/hide) Status: enable</t>
  </si>
  <si>
    <t>GUIDN09</t>
  </si>
  <si>
    <t>[Đăng nhập] Button</t>
  </si>
  <si>
    <t xml:space="preserve"> Background: green Text color: white Status: enable</t>
  </si>
  <si>
    <t>GUIDN10</t>
  </si>
  <si>
    <t>[Google] Button</t>
  </si>
  <si>
    <t xml:space="preserve"> Background: white Có icon Google Status: enable</t>
  </si>
  <si>
    <t>GUIDN11</t>
  </si>
  <si>
    <t>[Facebook] Button</t>
  </si>
  <si>
    <t xml:space="preserve"> Background: white Có icon Facebook Status: enable</t>
  </si>
  <si>
    <t>GUIDN12</t>
  </si>
  <si>
    <t>[Đăng ký ngay miễn phí] Link</t>
  </si>
  <si>
    <t>GUIDN13</t>
  </si>
  <si>
    <t>[Thông báo] Banner thông tin (dưới cùng)</t>
  </si>
  <si>
    <t xml:space="preserve"> Background: light blue Có icon (i) màu xanh Status: enable</t>
  </si>
  <si>
    <t>FUNCDN01</t>
  </si>
  <si>
    <t>Đăng nhập thành công vào hệ thống</t>
  </si>
  <si>
    <t>1. Nhập email và mật khẩu hợp lệ.
2. Click "Đăng nhập".</t>
  </si>
  <si>
    <t>Truy cập vào hệ thống</t>
  </si>
  <si>
    <t>Đi đến trang chủ/dashboard của người dùng.</t>
  </si>
  <si>
    <t>FUNCDN02</t>
  </si>
  <si>
    <t>Đăng nhập thất bại khi điền sai Email hoặc Mật khẩu</t>
  </si>
  <si>
    <t>1. Nhập sai email hoặc mật khẩu.
2. Click "Đăng nhập".</t>
  </si>
  <si>
    <t>Hệ thống thông báo lỗi: "Email hoặc mật khẩu không đúng, vui lòng nhập lại!"</t>
  </si>
  <si>
    <t>FUNCDN03</t>
  </si>
  <si>
    <t>Để trống trường "Mật khẩu"</t>
  </si>
  <si>
    <t>1. Nhập địa chỉ email.
2. Không nhập dữ liệu trường "Mật khẩu".
3. Click "Đăng nhập".</t>
  </si>
  <si>
    <t>Thông báo lỗi: "Bạn chưa nhập mật khẩu!"</t>
  </si>
  <si>
    <t>FUNCDN04</t>
  </si>
  <si>
    <t>Để trống trường "Địa chỉ Email"</t>
  </si>
  <si>
    <t>1. Để trống trường email.
2. Nhập dữ liệu trường "Mật khẩu".
3. Click "Đăng nhập".</t>
  </si>
  <si>
    <t>Hệ thống thông báo lỗi: "Bạn chưa nhập địa chỉ email!"</t>
  </si>
  <si>
    <t>FUNCDN05</t>
  </si>
  <si>
    <t>Để trống tất cả các trường dữ liệu</t>
  </si>
  <si>
    <t>1. Không nhập email.
2. Không nhập mật khẩu.
3. Click "Đăng nhập".</t>
  </si>
  <si>
    <t>Hệ thống thông báo lỗi: "Vui lòng nhập địa chỉ email và mật khẩu!"</t>
  </si>
  <si>
    <t>FUNCDN06</t>
  </si>
  <si>
    <t>Chức năng Ẩn/Hiện mật khẩu</t>
  </si>
  <si>
    <t>1. Nhập dữ liệu vào trường "Mật khẩu".
2. Click vào icon con mắt.</t>
  </si>
  <si>
    <t>Trạng thái hiển thị văn bản thay đổi từ dấu chấm (ẩn) sang ký tự rõ ràng (hiện) và ngược lại.</t>
  </si>
  <si>
    <t>FUNCDN07</t>
  </si>
  <si>
    <t>Đăng nhập bằng Google / Facebook</t>
  </si>
  <si>
    <t>1. Click vào nút "Google" hoặc "Facebook".</t>
  </si>
  <si>
    <t>Popup/Trang xác thực tài khoản Google/Facebook hiển thị.</t>
  </si>
  <si>
    <t>FUNCDN08</t>
  </si>
  <si>
    <t>Chuyển hướng quên mật khẩu</t>
  </si>
  <si>
    <t>1. Click "Quên mật khẩu?".</t>
  </si>
  <si>
    <t>Đi đến trang khôi phục / đặt lại mật khẩu.</t>
  </si>
  <si>
    <t>FUNCDN09</t>
  </si>
  <si>
    <t>Chuyển hướng đăng ký</t>
  </si>
  <si>
    <t>1. Click "Đăng ký ngay miễn phí".</t>
  </si>
  <si>
    <t>Đi đến trang đăng ký tài khoản mới.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</si>
</sst>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23">
    <font>
      <sz val="11"/>
      <color theme="1"/>
      <name val="Calibri"/>
      <family val="2"/>
      <scheme val="minor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indexed="63"/>
      <name val="Times New Roman"/>
      <family val="1"/>
    </font>
    <font>
      <sz val="13"/>
      <color theme="1"/>
      <name val="Times New Roman"/>
      <family val="1"/>
    </font>
    <font>
      <sz val="13"/>
      <color rgb="FF00000A"/>
      <name val="Times New Roman"/>
      <family val="1"/>
    </font>
    <font>
      <b/>
      <sz val="13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name val="Calibri"/>
      <charset val="134"/>
    </font>
    <font>
      <sz val="13"/>
      <color theme="1"/>
      <name val="Times New Roman"/>
      <charset val="134"/>
    </font>
    <font>
      <b/>
      <i/>
      <sz val="13"/>
      <color rgb="FF339966"/>
      <name val="Times New Roman"/>
      <charset val="134"/>
    </font>
    <font>
      <i/>
      <sz val="13"/>
      <color theme="1"/>
      <name val="Times New Roman"/>
      <charset val="134"/>
    </font>
    <font>
      <b/>
      <sz val="13"/>
      <color rgb="FFFFFFFF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Times New Roman"/>
      <family val="1"/>
    </font>
    <font>
      <sz val="13"/>
      <color rgb="FFFFFFFF"/>
      <name val="Times New Roman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Border="0" applyProtection="0">
      <alignment vertical="center"/>
    </xf>
  </cellStyleXfs>
  <cellXfs count="116">
    <xf numFmtId="0" fontId="0" fillId="0" borderId="0" xfId="0"/>
    <xf numFmtId="0" fontId="3" fillId="0" borderId="0" xfId="0" applyFont="1" applyAlignment="1">
      <alignment horizontal="center" vertical="top"/>
    </xf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0" fontId="6" fillId="0" borderId="0" xfId="0" applyFont="1"/>
    <xf numFmtId="0" fontId="3" fillId="0" borderId="0" xfId="0" applyFont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0" fontId="7" fillId="0" borderId="0" xfId="0" applyFont="1"/>
    <xf numFmtId="0" fontId="7" fillId="5" borderId="3" xfId="0" applyFont="1" applyFill="1" applyBorder="1" applyAlignment="1">
      <alignment wrapText="1"/>
    </xf>
    <xf numFmtId="0" fontId="9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wrapText="1"/>
    </xf>
    <xf numFmtId="14" fontId="7" fillId="0" borderId="3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7" fillId="7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wrapText="1"/>
    </xf>
    <xf numFmtId="0" fontId="12" fillId="0" borderId="0" xfId="0" applyFont="1"/>
    <xf numFmtId="0" fontId="13" fillId="0" borderId="0" xfId="0" applyFont="1"/>
    <xf numFmtId="15" fontId="13" fillId="0" borderId="0" xfId="0" applyNumberFormat="1" applyFont="1"/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vertical="top"/>
    </xf>
    <xf numFmtId="0" fontId="16" fillId="0" borderId="6" xfId="0" applyFont="1" applyBorder="1" applyAlignment="1">
      <alignment horizontal="center"/>
    </xf>
    <xf numFmtId="0" fontId="14" fillId="0" borderId="10" xfId="0" applyFont="1" applyBorder="1" applyAlignment="1">
      <alignment vertical="center"/>
    </xf>
    <xf numFmtId="0" fontId="17" fillId="0" borderId="10" xfId="0" applyFont="1" applyBorder="1" applyAlignment="1">
      <alignment vertical="top" wrapText="1"/>
    </xf>
    <xf numFmtId="0" fontId="16" fillId="0" borderId="10" xfId="0" applyFont="1" applyBorder="1" applyAlignment="1">
      <alignment wrapText="1"/>
    </xf>
    <xf numFmtId="0" fontId="14" fillId="0" borderId="14" xfId="0" applyFont="1" applyBorder="1" applyAlignment="1">
      <alignment vertical="center"/>
    </xf>
    <xf numFmtId="0" fontId="17" fillId="0" borderId="14" xfId="0" applyFont="1" applyBorder="1" applyAlignment="1">
      <alignment vertical="top" wrapText="1"/>
    </xf>
    <xf numFmtId="0" fontId="14" fillId="0" borderId="14" xfId="0" applyFont="1" applyBorder="1"/>
    <xf numFmtId="0" fontId="18" fillId="0" borderId="14" xfId="0" applyFont="1" applyBorder="1"/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165" fontId="16" fillId="0" borderId="1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/>
    </xf>
    <xf numFmtId="0" fontId="19" fillId="2" borderId="14" xfId="0" applyFont="1" applyFill="1" applyBorder="1"/>
    <xf numFmtId="165" fontId="19" fillId="2" borderId="14" xfId="0" applyNumberFormat="1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0" fontId="19" fillId="9" borderId="20" xfId="0" applyFont="1" applyFill="1" applyBorder="1"/>
    <xf numFmtId="0" fontId="14" fillId="9" borderId="21" xfId="0" applyFont="1" applyFill="1" applyBorder="1" applyAlignment="1">
      <alignment horizontal="center"/>
    </xf>
    <xf numFmtId="0" fontId="22" fillId="9" borderId="22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9" fontId="22" fillId="9" borderId="0" xfId="0" applyNumberFormat="1" applyFont="1" applyFill="1" applyAlignment="1">
      <alignment horizontal="center"/>
    </xf>
    <xf numFmtId="9" fontId="22" fillId="9" borderId="23" xfId="0" applyNumberFormat="1" applyFont="1" applyFill="1" applyBorder="1" applyAlignment="1">
      <alignment horizontal="center"/>
    </xf>
    <xf numFmtId="0" fontId="16" fillId="0" borderId="0" xfId="0" applyFont="1"/>
    <xf numFmtId="0" fontId="14" fillId="0" borderId="24" xfId="0" applyFont="1" applyBorder="1" applyAlignment="1">
      <alignment horizontal="left"/>
    </xf>
    <xf numFmtId="0" fontId="16" fillId="0" borderId="25" xfId="0" applyFont="1" applyBorder="1"/>
    <xf numFmtId="2" fontId="14" fillId="0" borderId="26" xfId="0" applyNumberFormat="1" applyFont="1" applyBorder="1" applyAlignment="1">
      <alignment horizontal="right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7" xfId="0" applyFont="1" applyBorder="1"/>
    <xf numFmtId="0" fontId="14" fillId="0" borderId="28" xfId="0" applyFont="1" applyBorder="1" applyAlignment="1">
      <alignment horizontal="left"/>
    </xf>
    <xf numFmtId="0" fontId="16" fillId="0" borderId="29" xfId="0" applyFont="1" applyBorder="1"/>
    <xf numFmtId="2" fontId="14" fillId="0" borderId="30" xfId="0" applyNumberFormat="1" applyFont="1" applyBorder="1" applyAlignment="1">
      <alignment horizontal="right" wrapText="1"/>
    </xf>
    <xf numFmtId="0" fontId="16" fillId="0" borderId="27" xfId="0" applyFont="1" applyBorder="1" applyAlignment="1">
      <alignment vertical="center"/>
    </xf>
    <xf numFmtId="0" fontId="16" fillId="0" borderId="2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7" fillId="7" borderId="1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center"/>
    </xf>
    <xf numFmtId="0" fontId="14" fillId="0" borderId="7" xfId="0" applyFont="1" applyBorder="1" applyAlignment="1">
      <alignment horizontal="left"/>
    </xf>
    <xf numFmtId="14" fontId="16" fillId="0" borderId="7" xfId="0" applyNumberFormat="1" applyFont="1" applyBorder="1" applyAlignment="1">
      <alignment horizontal="center"/>
    </xf>
    <xf numFmtId="15" fontId="14" fillId="0" borderId="15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7" fillId="0" borderId="11" xfId="0" applyFont="1" applyBorder="1" applyAlignment="1">
      <alignment vertical="top" wrapText="1"/>
    </xf>
    <xf numFmtId="0" fontId="11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9" fillId="0" borderId="7" xfId="0" applyFont="1" applyBorder="1" applyAlignment="1">
      <alignment horizontal="center" vertical="top"/>
    </xf>
    <xf numFmtId="0" fontId="14" fillId="0" borderId="7" xfId="0" applyFont="1" applyBorder="1" applyAlignment="1">
      <alignment horizontal="center"/>
    </xf>
    <xf numFmtId="0" fontId="7" fillId="7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0" fillId="0" borderId="0" xfId="0" applyAlignment="1"/>
    <xf numFmtId="0" fontId="15" fillId="0" borderId="9" xfId="0" applyFont="1" applyBorder="1" applyAlignment="1"/>
    <xf numFmtId="0" fontId="15" fillId="0" borderId="8" xfId="0" applyFont="1" applyBorder="1" applyAlignment="1"/>
    <xf numFmtId="14" fontId="15" fillId="0" borderId="9" xfId="0" applyNumberFormat="1" applyFont="1" applyBorder="1" applyAlignment="1"/>
    <xf numFmtId="14" fontId="15" fillId="0" borderId="8" xfId="0" applyNumberFormat="1" applyFont="1" applyBorder="1" applyAlignment="1"/>
    <xf numFmtId="0" fontId="15" fillId="0" borderId="12" xfId="0" applyFont="1" applyBorder="1" applyAlignment="1"/>
    <xf numFmtId="0" fontId="15" fillId="0" borderId="13" xfId="0" applyFont="1" applyBorder="1" applyAlignment="1"/>
    <xf numFmtId="0" fontId="15" fillId="0" borderId="16" xfId="0" applyFont="1" applyBorder="1" applyAlignment="1"/>
    <xf numFmtId="0" fontId="15" fillId="0" borderId="17" xfId="0" applyFont="1" applyBorder="1" applyAlignment="1"/>
    <xf numFmtId="0" fontId="15" fillId="0" borderId="18" xfId="0" applyFont="1" applyBorder="1" applyAlignment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</cellXfs>
  <cellStyles count="2">
    <cellStyle name="Bình thường" xfId="0" builtinId="0"/>
    <cellStyle name="Normal 10" xfId="1" xr:uid="{16032B19-570D-4A9E-BFEC-7DFFCEEEB76D}"/>
  </cellStyles>
  <dxfs count="28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E17" sqref="E17"/>
    </sheetView>
  </sheetViews>
  <sheetFormatPr defaultRowHeight="14.45"/>
  <cols>
    <col min="1" max="1" width="11.42578125" bestFit="1" customWidth="1"/>
    <col min="2" max="2" width="33.28515625" bestFit="1" customWidth="1"/>
    <col min="3" max="6" width="8.5703125" bestFit="1" customWidth="1"/>
    <col min="7" max="7" width="10.42578125" customWidth="1"/>
    <col min="8" max="8" width="9.85546875" customWidth="1"/>
    <col min="9" max="10" width="8.5703125" bestFit="1" customWidth="1"/>
    <col min="11" max="11" width="16.28515625" customWidth="1"/>
    <col min="12" max="12" width="17" customWidth="1"/>
    <col min="13" max="16" width="8.5703125" bestFit="1" customWidth="1"/>
  </cols>
  <sheetData>
    <row r="1" spans="1:16" ht="24.6">
      <c r="A1" s="78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  <c r="N2" s="21"/>
      <c r="O2" s="21"/>
      <c r="P2" s="21"/>
    </row>
    <row r="3" spans="1:16" ht="16.899999999999999" customHeight="1">
      <c r="A3" s="22" t="s">
        <v>1</v>
      </c>
      <c r="B3" s="79" t="s">
        <v>2</v>
      </c>
      <c r="C3" s="80"/>
      <c r="D3" s="23"/>
      <c r="E3" s="70" t="s">
        <v>3</v>
      </c>
      <c r="F3" s="92"/>
      <c r="G3" s="93"/>
      <c r="H3" s="81" t="s">
        <v>4</v>
      </c>
      <c r="I3" s="92"/>
      <c r="J3" s="92"/>
      <c r="K3" s="93"/>
      <c r="L3" s="24"/>
      <c r="M3" s="24"/>
      <c r="N3" s="24"/>
      <c r="O3" s="24"/>
      <c r="P3" s="24"/>
    </row>
    <row r="4" spans="1:16" ht="16.899999999999999">
      <c r="A4" s="22"/>
      <c r="B4" s="69"/>
      <c r="C4" s="93"/>
      <c r="D4" s="25"/>
      <c r="E4" s="70" t="s">
        <v>5</v>
      </c>
      <c r="F4" s="92"/>
      <c r="G4" s="93"/>
      <c r="H4" s="82" t="s">
        <v>6</v>
      </c>
      <c r="I4" s="92"/>
      <c r="J4" s="92"/>
      <c r="K4" s="93"/>
      <c r="L4" s="25"/>
      <c r="M4" s="24"/>
      <c r="N4" s="24"/>
      <c r="O4" s="24"/>
      <c r="P4" s="24"/>
    </row>
    <row r="5" spans="1:16" ht="16.899999999999999">
      <c r="A5" s="22"/>
      <c r="B5" s="69"/>
      <c r="C5" s="93"/>
      <c r="D5" s="25"/>
      <c r="E5" s="70" t="s">
        <v>7</v>
      </c>
      <c r="F5" s="92"/>
      <c r="G5" s="93"/>
      <c r="H5" s="71">
        <v>46137</v>
      </c>
      <c r="I5" s="94"/>
      <c r="J5" s="94"/>
      <c r="K5" s="95"/>
      <c r="L5" s="25"/>
      <c r="M5" s="24"/>
      <c r="N5" s="24"/>
      <c r="O5" s="24"/>
      <c r="P5" s="24"/>
    </row>
    <row r="6" spans="1:16" ht="16.899999999999999">
      <c r="A6" s="26" t="s">
        <v>8</v>
      </c>
      <c r="B6" s="77" t="s">
        <v>9</v>
      </c>
      <c r="C6" s="96"/>
      <c r="D6" s="96"/>
      <c r="E6" s="96"/>
      <c r="F6" s="96"/>
      <c r="G6" s="96"/>
      <c r="H6" s="96"/>
      <c r="I6" s="96"/>
      <c r="J6" s="96"/>
      <c r="K6" s="97"/>
      <c r="L6" s="27"/>
      <c r="M6" s="28"/>
      <c r="N6" s="28"/>
      <c r="O6" s="28"/>
      <c r="P6" s="28"/>
    </row>
    <row r="7" spans="1:16" ht="16.899999999999999">
      <c r="A7" s="29"/>
      <c r="B7" s="30"/>
      <c r="C7" s="73" t="s">
        <v>10</v>
      </c>
      <c r="D7" s="98"/>
      <c r="E7" s="73" t="s">
        <v>11</v>
      </c>
      <c r="F7" s="98"/>
      <c r="G7" s="73" t="s">
        <v>12</v>
      </c>
      <c r="H7" s="98"/>
      <c r="I7" s="73" t="s">
        <v>13</v>
      </c>
      <c r="J7" s="98"/>
      <c r="K7" s="73" t="s">
        <v>14</v>
      </c>
      <c r="L7" s="98"/>
      <c r="M7" s="72" t="s">
        <v>15</v>
      </c>
      <c r="N7" s="98"/>
      <c r="O7" s="73" t="s">
        <v>16</v>
      </c>
      <c r="P7" s="74"/>
    </row>
    <row r="8" spans="1:16" ht="16.899999999999999">
      <c r="A8" s="31"/>
      <c r="B8" s="32"/>
      <c r="C8" s="99"/>
      <c r="D8" s="100"/>
      <c r="E8" s="99"/>
      <c r="F8" s="100"/>
      <c r="G8" s="99"/>
      <c r="H8" s="100"/>
      <c r="I8" s="99"/>
      <c r="J8" s="100"/>
      <c r="K8" s="99"/>
      <c r="L8" s="100"/>
      <c r="M8" s="99"/>
      <c r="N8" s="100"/>
      <c r="O8" s="75"/>
      <c r="P8" s="76"/>
    </row>
    <row r="9" spans="1:16" ht="16.899999999999999">
      <c r="A9" s="33" t="s">
        <v>17</v>
      </c>
      <c r="B9" s="33" t="s">
        <v>18</v>
      </c>
      <c r="C9" s="34" t="s">
        <v>19</v>
      </c>
      <c r="D9" s="34" t="s">
        <v>20</v>
      </c>
      <c r="E9" s="34" t="s">
        <v>19</v>
      </c>
      <c r="F9" s="34" t="s">
        <v>20</v>
      </c>
      <c r="G9" s="34" t="s">
        <v>19</v>
      </c>
      <c r="H9" s="34" t="s">
        <v>20</v>
      </c>
      <c r="I9" s="33" t="s">
        <v>19</v>
      </c>
      <c r="J9" s="34" t="s">
        <v>20</v>
      </c>
      <c r="K9" s="34" t="s">
        <v>19</v>
      </c>
      <c r="L9" s="34" t="s">
        <v>20</v>
      </c>
      <c r="M9" s="34" t="s">
        <v>19</v>
      </c>
      <c r="N9" s="34" t="s">
        <v>20</v>
      </c>
      <c r="O9" s="34" t="s">
        <v>19</v>
      </c>
      <c r="P9" s="34" t="s">
        <v>20</v>
      </c>
    </row>
    <row r="10" spans="1:16" ht="21">
      <c r="A10" s="35">
        <v>1</v>
      </c>
      <c r="B10" s="36" t="s">
        <v>21</v>
      </c>
      <c r="C10" s="37">
        <v>13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13</v>
      </c>
      <c r="L10" s="37">
        <v>0</v>
      </c>
      <c r="M10" s="38">
        <f>IFERROR(ROUND(C10*100/K10,1), "0")</f>
        <v>100</v>
      </c>
      <c r="N10" s="38" t="str">
        <f t="shared" ref="N10:N19" si="0">IFERROR(ROUND(D10*100/L10,1), "0")</f>
        <v>0</v>
      </c>
      <c r="O10" s="38">
        <f>IFERROR(ROUND((C10+E10)*100/K10,1), "0")</f>
        <v>100</v>
      </c>
      <c r="P10" s="38" t="str">
        <f>IFERROR(ROUND((D10+F10)*100/L10,1), "0")</f>
        <v>0</v>
      </c>
    </row>
    <row r="11" spans="1:16" ht="21">
      <c r="A11" s="35">
        <v>2</v>
      </c>
      <c r="B11" s="36" t="s">
        <v>22</v>
      </c>
      <c r="C11" s="37">
        <v>19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19</v>
      </c>
      <c r="L11" s="37">
        <v>0</v>
      </c>
      <c r="M11" s="38">
        <f t="shared" ref="M11:M19" si="1">IFERROR(ROUND(C11*100/K11,1), "0")</f>
        <v>100</v>
      </c>
      <c r="N11" s="38" t="str">
        <f t="shared" si="0"/>
        <v>0</v>
      </c>
      <c r="O11" s="38">
        <f t="shared" ref="O11:P19" si="2">IFERROR(ROUND((C11+E11)*100/K11,1), "0")</f>
        <v>100</v>
      </c>
      <c r="P11" s="38" t="str">
        <f t="shared" si="2"/>
        <v>0</v>
      </c>
    </row>
    <row r="12" spans="1:16" ht="21">
      <c r="A12" s="35">
        <v>3</v>
      </c>
      <c r="B12" s="39" t="s">
        <v>23</v>
      </c>
      <c r="C12" s="37">
        <v>19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19</v>
      </c>
      <c r="L12" s="37">
        <v>0</v>
      </c>
      <c r="M12" s="38">
        <f t="shared" si="1"/>
        <v>100</v>
      </c>
      <c r="N12" s="38" t="str">
        <f t="shared" si="0"/>
        <v>0</v>
      </c>
      <c r="O12" s="38">
        <f t="shared" si="2"/>
        <v>100</v>
      </c>
      <c r="P12" s="38" t="str">
        <f t="shared" si="2"/>
        <v>0</v>
      </c>
    </row>
    <row r="13" spans="1:16" ht="21">
      <c r="A13" s="35">
        <v>4</v>
      </c>
      <c r="B13" s="40" t="s">
        <v>24</v>
      </c>
      <c r="C13" s="37">
        <v>31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31</v>
      </c>
      <c r="L13" s="37">
        <v>0</v>
      </c>
      <c r="M13" s="38">
        <f t="shared" si="1"/>
        <v>100</v>
      </c>
      <c r="N13" s="38" t="str">
        <f t="shared" si="0"/>
        <v>0</v>
      </c>
      <c r="O13" s="38">
        <f t="shared" si="2"/>
        <v>100</v>
      </c>
      <c r="P13" s="38" t="str">
        <f t="shared" si="2"/>
        <v>0</v>
      </c>
    </row>
    <row r="14" spans="1:16" ht="21">
      <c r="A14" s="35">
        <v>5</v>
      </c>
      <c r="B14" s="41" t="s">
        <v>25</v>
      </c>
      <c r="C14" s="37">
        <v>43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43</v>
      </c>
      <c r="L14" s="37">
        <v>0</v>
      </c>
      <c r="M14" s="38">
        <f t="shared" si="1"/>
        <v>100</v>
      </c>
      <c r="N14" s="38" t="str">
        <f t="shared" si="0"/>
        <v>0</v>
      </c>
      <c r="O14" s="38">
        <f t="shared" si="2"/>
        <v>100</v>
      </c>
      <c r="P14" s="38" t="str">
        <f t="shared" si="2"/>
        <v>0</v>
      </c>
    </row>
    <row r="15" spans="1:16" ht="21">
      <c r="A15" s="35">
        <v>6</v>
      </c>
      <c r="B15" s="41" t="s">
        <v>26</v>
      </c>
      <c r="C15" s="37">
        <v>31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31</v>
      </c>
      <c r="L15" s="37">
        <v>0</v>
      </c>
      <c r="M15" s="38">
        <f t="shared" si="1"/>
        <v>100</v>
      </c>
      <c r="N15" s="38" t="str">
        <f t="shared" si="0"/>
        <v>0</v>
      </c>
      <c r="O15" s="38">
        <f t="shared" si="2"/>
        <v>100</v>
      </c>
      <c r="P15" s="38" t="str">
        <f t="shared" si="2"/>
        <v>0</v>
      </c>
    </row>
    <row r="16" spans="1:16" ht="21">
      <c r="A16" s="35">
        <v>7</v>
      </c>
      <c r="B16" s="42" t="s">
        <v>27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8" t="str">
        <f t="shared" si="1"/>
        <v>0</v>
      </c>
      <c r="N16" s="38" t="str">
        <f t="shared" si="0"/>
        <v>0</v>
      </c>
      <c r="O16" s="38" t="str">
        <f t="shared" si="2"/>
        <v>0</v>
      </c>
      <c r="P16" s="38" t="str">
        <f t="shared" si="2"/>
        <v>0</v>
      </c>
    </row>
    <row r="17" spans="1:16" ht="21">
      <c r="A17" s="35">
        <v>8</v>
      </c>
      <c r="B17" s="42" t="s">
        <v>28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8" t="str">
        <f t="shared" si="1"/>
        <v>0</v>
      </c>
      <c r="N17" s="38" t="str">
        <f t="shared" si="0"/>
        <v>0</v>
      </c>
      <c r="O17" s="38" t="str">
        <f t="shared" si="2"/>
        <v>0</v>
      </c>
      <c r="P17" s="38" t="str">
        <f t="shared" si="2"/>
        <v>0</v>
      </c>
    </row>
    <row r="18" spans="1:16" ht="21">
      <c r="A18" s="35">
        <v>9</v>
      </c>
      <c r="B18" s="42" t="s">
        <v>29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8" t="str">
        <f t="shared" si="1"/>
        <v>0</v>
      </c>
      <c r="N18" s="38" t="str">
        <f t="shared" si="0"/>
        <v>0</v>
      </c>
      <c r="O18" s="38" t="str">
        <f t="shared" si="2"/>
        <v>0</v>
      </c>
      <c r="P18" s="38" t="str">
        <f t="shared" si="2"/>
        <v>0</v>
      </c>
    </row>
    <row r="19" spans="1:16" ht="42">
      <c r="A19" s="35">
        <v>10</v>
      </c>
      <c r="B19" s="42" t="s">
        <v>30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8" t="str">
        <f t="shared" si="1"/>
        <v>0</v>
      </c>
      <c r="N19" s="38" t="str">
        <f t="shared" si="0"/>
        <v>0</v>
      </c>
      <c r="O19" s="38" t="str">
        <f t="shared" si="2"/>
        <v>0</v>
      </c>
      <c r="P19" s="38" t="str">
        <f t="shared" si="2"/>
        <v>0</v>
      </c>
    </row>
    <row r="20" spans="1:16" ht="16.899999999999999">
      <c r="A20" s="43"/>
      <c r="B20" s="44" t="s">
        <v>31</v>
      </c>
      <c r="C20" s="45">
        <f>SUM(C10:C19)</f>
        <v>156</v>
      </c>
      <c r="D20" s="45">
        <f>SUM(D10:D19)</f>
        <v>0</v>
      </c>
      <c r="E20" s="45">
        <f>SUM(E10:E19)</f>
        <v>0</v>
      </c>
      <c r="F20" s="45">
        <f>SUM(F10:F19)</f>
        <v>0</v>
      </c>
      <c r="G20" s="45">
        <f>SUM(G10:G19)</f>
        <v>0</v>
      </c>
      <c r="H20" s="45">
        <f>SUM(H10:H19)</f>
        <v>0</v>
      </c>
      <c r="I20" s="45">
        <f>SUM(I10:I19)</f>
        <v>0</v>
      </c>
      <c r="J20" s="45">
        <f>SUM(J10:J19)</f>
        <v>0</v>
      </c>
      <c r="K20" s="45">
        <f>SUM(K10:K19)</f>
        <v>156</v>
      </c>
      <c r="L20" s="45">
        <f>SUM(L10:L19)</f>
        <v>0</v>
      </c>
      <c r="M20" s="45">
        <f>SUM(M10:M19)</f>
        <v>600</v>
      </c>
      <c r="N20" s="45">
        <f>SUM(N10:N19)</f>
        <v>0</v>
      </c>
      <c r="O20" s="45">
        <f>SUM(O10:O19)</f>
        <v>600</v>
      </c>
      <c r="P20" s="45">
        <f>SUM(P10:P19)</f>
        <v>0</v>
      </c>
    </row>
    <row r="21" spans="1:16" ht="17.45" thickBot="1">
      <c r="A21" s="46"/>
      <c r="B21" s="47"/>
      <c r="C21" s="48" t="s">
        <v>19</v>
      </c>
      <c r="D21" s="48" t="s">
        <v>32</v>
      </c>
      <c r="E21" s="49"/>
      <c r="F21" s="50"/>
      <c r="G21" s="50"/>
      <c r="H21" s="50"/>
      <c r="I21" s="50"/>
      <c r="J21" s="50"/>
      <c r="K21" s="51"/>
      <c r="L21" s="51"/>
      <c r="M21" s="52"/>
      <c r="N21" s="52"/>
      <c r="O21" s="52"/>
      <c r="P21" s="53"/>
    </row>
    <row r="22" spans="1:16" ht="17.45" thickBot="1">
      <c r="A22" s="54"/>
      <c r="B22" s="55" t="s">
        <v>33</v>
      </c>
      <c r="C22" s="56">
        <f>IFERROR(ROUND((C20+E20)*100/K20,1),"0")</f>
        <v>100</v>
      </c>
      <c r="D22" s="56" t="str">
        <f>IFERROR(ROUND((D20+F20)*100/L20,1),"0")</f>
        <v>0</v>
      </c>
      <c r="E22" s="54" t="s">
        <v>34</v>
      </c>
      <c r="F22" s="57"/>
      <c r="G22" s="58"/>
      <c r="H22" s="54"/>
      <c r="I22" s="54"/>
      <c r="J22" s="54"/>
      <c r="K22" s="58"/>
      <c r="L22" s="58"/>
      <c r="M22" s="59"/>
      <c r="N22" s="59"/>
      <c r="O22" s="59"/>
      <c r="P22" s="60"/>
    </row>
    <row r="23" spans="1:16" ht="17.45" thickBot="1">
      <c r="A23" s="61"/>
      <c r="B23" s="62" t="s">
        <v>35</v>
      </c>
      <c r="C23" s="63">
        <f>IFERROR(ROUND(C20*100/K20,1),"0")</f>
        <v>100</v>
      </c>
      <c r="D23" s="56" t="str">
        <f>IFERROR(ROUND((D21+F21)*100/L21,1),"0")</f>
        <v>0</v>
      </c>
      <c r="E23" s="63" t="s">
        <v>34</v>
      </c>
      <c r="F23" s="64"/>
      <c r="G23" s="65"/>
      <c r="H23" s="61"/>
      <c r="I23" s="61"/>
      <c r="J23" s="61"/>
      <c r="K23" s="65"/>
      <c r="L23" s="65"/>
      <c r="M23" s="66"/>
      <c r="N23" s="66"/>
      <c r="O23" s="66"/>
      <c r="P23" s="67"/>
    </row>
  </sheetData>
  <mergeCells count="18">
    <mergeCell ref="A1:P1"/>
    <mergeCell ref="B3:C3"/>
    <mergeCell ref="E3:G3"/>
    <mergeCell ref="H3:K3"/>
    <mergeCell ref="B4:C4"/>
    <mergeCell ref="E4:G4"/>
    <mergeCell ref="H4:K4"/>
    <mergeCell ref="B5:C5"/>
    <mergeCell ref="E5:G5"/>
    <mergeCell ref="H5:K5"/>
    <mergeCell ref="M7:N8"/>
    <mergeCell ref="O7:P8"/>
    <mergeCell ref="B6:K6"/>
    <mergeCell ref="C7:D8"/>
    <mergeCell ref="E7:F8"/>
    <mergeCell ref="G7:H8"/>
    <mergeCell ref="I7:J8"/>
    <mergeCell ref="K7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047C-7B95-4DA2-AA89-ADC43ABEC1BC}">
  <sheetPr>
    <tabColor theme="4"/>
  </sheetPr>
  <dimension ref="A1:J43"/>
  <sheetViews>
    <sheetView topLeftCell="C28" zoomScale="80" workbookViewId="0">
      <selection activeCell="H23" sqref="H23:H43"/>
    </sheetView>
  </sheetViews>
  <sheetFormatPr defaultColWidth="9.140625" defaultRowHeight="16.899999999999999"/>
  <cols>
    <col min="1" max="1" width="21.28515625" style="11" bestFit="1" customWidth="1"/>
    <col min="2" max="2" width="47.28515625" style="11" customWidth="1"/>
    <col min="3" max="3" width="34.285156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703125" style="11" bestFit="1" customWidth="1"/>
    <col min="9" max="9" width="22.7109375" style="11" bestFit="1" customWidth="1"/>
    <col min="10" max="10" width="16" style="11" bestFit="1" customWidth="1"/>
    <col min="11" max="16384" width="9.140625" style="11"/>
  </cols>
  <sheetData>
    <row r="1" spans="1:10" s="3" customFormat="1">
      <c r="A1" s="101" t="s">
        <v>36</v>
      </c>
      <c r="B1" s="102" t="s">
        <v>37</v>
      </c>
      <c r="C1" s="102"/>
      <c r="D1" s="102"/>
      <c r="E1" s="102"/>
      <c r="F1" s="102"/>
      <c r="G1" s="1"/>
      <c r="H1" s="2"/>
    </row>
    <row r="2" spans="1:10" s="3" customFormat="1">
      <c r="A2" s="101" t="s">
        <v>38</v>
      </c>
      <c r="B2" s="103" t="s">
        <v>21</v>
      </c>
      <c r="C2" s="103"/>
      <c r="D2" s="103"/>
      <c r="E2" s="103"/>
      <c r="F2" s="103"/>
      <c r="G2" s="1"/>
      <c r="H2" s="2"/>
    </row>
    <row r="3" spans="1:10" s="3" customFormat="1">
      <c r="A3" s="104"/>
      <c r="B3" s="105" t="s">
        <v>10</v>
      </c>
      <c r="C3" s="105" t="s">
        <v>11</v>
      </c>
      <c r="D3" s="105" t="s">
        <v>39</v>
      </c>
      <c r="E3" s="105" t="s">
        <v>40</v>
      </c>
      <c r="F3" s="105" t="s">
        <v>41</v>
      </c>
      <c r="G3" s="1"/>
      <c r="H3" s="2"/>
    </row>
    <row r="4" spans="1:10" s="3" customFormat="1">
      <c r="A4" s="106" t="s">
        <v>42</v>
      </c>
      <c r="B4" s="107">
        <v>13</v>
      </c>
      <c r="C4" s="107">
        <v>1</v>
      </c>
      <c r="D4" s="104">
        <v>0</v>
      </c>
      <c r="E4" s="108">
        <v>0</v>
      </c>
      <c r="F4" s="104">
        <f>SUM(B4:E4)</f>
        <v>14</v>
      </c>
      <c r="G4" s="1"/>
      <c r="H4" s="2"/>
    </row>
    <row r="5" spans="1:10" s="3" customFormat="1">
      <c r="A5" s="106" t="s">
        <v>43</v>
      </c>
      <c r="B5" s="107">
        <v>13</v>
      </c>
      <c r="C5" s="107">
        <v>1</v>
      </c>
      <c r="D5" s="104">
        <v>0</v>
      </c>
      <c r="E5" s="108">
        <v>0</v>
      </c>
      <c r="F5" s="104">
        <f>SUM(B5:E5)</f>
        <v>14</v>
      </c>
      <c r="G5" s="1"/>
      <c r="H5" s="2"/>
    </row>
    <row r="6" spans="1:10" s="3" customFormat="1">
      <c r="A6" s="4"/>
      <c r="B6" s="5"/>
      <c r="E6" s="6"/>
      <c r="G6" s="1"/>
      <c r="H6" s="2"/>
    </row>
    <row r="7" spans="1:10" s="3" customFormat="1" ht="14.45" customHeight="1">
      <c r="A7" s="4"/>
      <c r="B7" s="5"/>
      <c r="E7" s="6"/>
      <c r="G7" s="1"/>
      <c r="H7" s="2"/>
    </row>
    <row r="8" spans="1:10" s="3" customFormat="1">
      <c r="A8" s="109" t="s">
        <v>44</v>
      </c>
      <c r="B8" s="109" t="s">
        <v>45</v>
      </c>
      <c r="C8" s="109" t="s">
        <v>46</v>
      </c>
      <c r="D8" s="109" t="s">
        <v>47</v>
      </c>
      <c r="E8" s="109" t="s">
        <v>48</v>
      </c>
      <c r="F8" s="109" t="s">
        <v>49</v>
      </c>
      <c r="G8" s="109" t="s">
        <v>50</v>
      </c>
      <c r="H8" s="109"/>
      <c r="I8" s="109"/>
      <c r="J8" s="109" t="s">
        <v>51</v>
      </c>
    </row>
    <row r="9" spans="1:10" s="3" customFormat="1">
      <c r="A9" s="109"/>
      <c r="B9" s="109"/>
      <c r="C9" s="109"/>
      <c r="D9" s="109"/>
      <c r="E9" s="109"/>
      <c r="F9" s="109"/>
      <c r="G9" s="109" t="s">
        <v>19</v>
      </c>
      <c r="H9" s="109"/>
      <c r="I9" s="109"/>
      <c r="J9" s="109"/>
    </row>
    <row r="10" spans="1:10" s="3" customFormat="1">
      <c r="A10" s="109"/>
      <c r="B10" s="109"/>
      <c r="C10" s="109"/>
      <c r="D10" s="109"/>
      <c r="E10" s="109"/>
      <c r="F10" s="109"/>
      <c r="G10" s="110" t="s">
        <v>52</v>
      </c>
      <c r="H10" s="111" t="s">
        <v>53</v>
      </c>
      <c r="I10" s="105" t="s">
        <v>54</v>
      </c>
      <c r="J10" s="109"/>
    </row>
    <row r="11" spans="1:10" s="3" customFormat="1">
      <c r="A11" s="85" t="s">
        <v>55</v>
      </c>
      <c r="B11" s="85"/>
      <c r="C11" s="85"/>
      <c r="D11" s="85"/>
      <c r="E11" s="85"/>
      <c r="F11" s="85"/>
      <c r="G11" s="85"/>
      <c r="H11" s="112"/>
      <c r="I11" s="112"/>
      <c r="J11" s="112"/>
    </row>
    <row r="12" spans="1:10" s="3" customFormat="1" ht="33.6">
      <c r="A12" s="83" t="s">
        <v>56</v>
      </c>
      <c r="B12" s="83" t="s">
        <v>57</v>
      </c>
      <c r="C12" s="83" t="s">
        <v>58</v>
      </c>
      <c r="D12" s="83"/>
      <c r="E12" s="68" t="s">
        <v>59</v>
      </c>
      <c r="F12" s="68" t="s">
        <v>59</v>
      </c>
      <c r="G12" s="12" t="s">
        <v>60</v>
      </c>
      <c r="H12" s="15"/>
      <c r="I12" s="15" t="s">
        <v>61</v>
      </c>
      <c r="J12" s="16"/>
    </row>
    <row r="13" spans="1:10" s="3" customFormat="1" ht="33.6">
      <c r="A13" s="83"/>
      <c r="B13" s="83"/>
      <c r="C13" s="83"/>
      <c r="D13" s="83"/>
      <c r="E13" s="68" t="s">
        <v>62</v>
      </c>
      <c r="F13" s="68" t="s">
        <v>62</v>
      </c>
      <c r="G13" s="12" t="s">
        <v>60</v>
      </c>
      <c r="H13" s="15"/>
      <c r="I13" s="15" t="s">
        <v>61</v>
      </c>
      <c r="J13" s="16"/>
    </row>
    <row r="14" spans="1:10" s="3" customFormat="1" ht="50.45">
      <c r="A14" s="83" t="s">
        <v>63</v>
      </c>
      <c r="B14" s="83" t="s">
        <v>64</v>
      </c>
      <c r="C14" s="83" t="s">
        <v>65</v>
      </c>
      <c r="D14" s="83"/>
      <c r="E14" s="68" t="s">
        <v>66</v>
      </c>
      <c r="F14" s="68" t="s">
        <v>66</v>
      </c>
      <c r="G14" s="12" t="s">
        <v>60</v>
      </c>
      <c r="H14" s="15"/>
      <c r="I14" s="15" t="s">
        <v>61</v>
      </c>
      <c r="J14" s="16"/>
    </row>
    <row r="15" spans="1:10" s="3" customFormat="1">
      <c r="A15" s="83"/>
      <c r="B15" s="83"/>
      <c r="C15" s="83"/>
      <c r="D15" s="83"/>
      <c r="E15" s="68" t="s">
        <v>67</v>
      </c>
      <c r="F15" s="68" t="s">
        <v>67</v>
      </c>
      <c r="G15" s="12" t="s">
        <v>60</v>
      </c>
      <c r="H15" s="15"/>
      <c r="I15" s="15" t="s">
        <v>61</v>
      </c>
      <c r="J15" s="16"/>
    </row>
    <row r="16" spans="1:10" s="3" customFormat="1" ht="33.6" customHeight="1">
      <c r="A16" s="83" t="s">
        <v>68</v>
      </c>
      <c r="B16" s="83" t="s">
        <v>69</v>
      </c>
      <c r="C16" s="83" t="s">
        <v>70</v>
      </c>
      <c r="D16" s="83"/>
      <c r="E16" s="68" t="s">
        <v>71</v>
      </c>
      <c r="F16" s="68" t="s">
        <v>71</v>
      </c>
      <c r="G16" s="12" t="s">
        <v>60</v>
      </c>
      <c r="H16" s="15"/>
      <c r="I16" s="15" t="s">
        <v>61</v>
      </c>
      <c r="J16" s="16"/>
    </row>
    <row r="17" spans="1:10" s="3" customFormat="1" ht="33.6">
      <c r="A17" s="83"/>
      <c r="B17" s="83"/>
      <c r="C17" s="83"/>
      <c r="D17" s="83"/>
      <c r="E17" s="68" t="s">
        <v>72</v>
      </c>
      <c r="F17" s="68" t="s">
        <v>72</v>
      </c>
      <c r="G17" s="12" t="s">
        <v>60</v>
      </c>
      <c r="H17" s="15"/>
      <c r="I17" s="15" t="s">
        <v>61</v>
      </c>
      <c r="J17" s="16"/>
    </row>
    <row r="18" spans="1:10" s="3" customFormat="1" ht="33.6">
      <c r="A18" s="68" t="s">
        <v>73</v>
      </c>
      <c r="B18" s="68" t="s">
        <v>74</v>
      </c>
      <c r="C18" s="68" t="s">
        <v>75</v>
      </c>
      <c r="D18" s="68" t="s">
        <v>76</v>
      </c>
      <c r="E18" s="68" t="s">
        <v>77</v>
      </c>
      <c r="F18" s="68" t="s">
        <v>77</v>
      </c>
      <c r="G18" s="12" t="s">
        <v>60</v>
      </c>
      <c r="H18" s="15"/>
      <c r="I18" s="15" t="s">
        <v>61</v>
      </c>
      <c r="J18" s="16"/>
    </row>
    <row r="19" spans="1:10" s="3" customFormat="1" ht="50.45" customHeight="1">
      <c r="A19" s="68" t="s">
        <v>78</v>
      </c>
      <c r="B19" s="68" t="s">
        <v>79</v>
      </c>
      <c r="C19" s="68" t="s">
        <v>80</v>
      </c>
      <c r="D19" s="68" t="s">
        <v>81</v>
      </c>
      <c r="E19" s="68" t="s">
        <v>82</v>
      </c>
      <c r="F19" s="68" t="s">
        <v>82</v>
      </c>
      <c r="G19" s="12" t="s">
        <v>60</v>
      </c>
      <c r="H19" s="15"/>
      <c r="I19" s="15" t="s">
        <v>61</v>
      </c>
      <c r="J19" s="16"/>
    </row>
    <row r="20" spans="1:10" s="3" customFormat="1" ht="33.6">
      <c r="A20" s="83" t="s">
        <v>83</v>
      </c>
      <c r="B20" s="83" t="s">
        <v>84</v>
      </c>
      <c r="C20" s="83" t="s">
        <v>85</v>
      </c>
      <c r="D20" s="83"/>
      <c r="E20" s="68" t="s">
        <v>86</v>
      </c>
      <c r="F20" s="68" t="s">
        <v>86</v>
      </c>
      <c r="G20" s="12" t="s">
        <v>60</v>
      </c>
      <c r="H20" s="15"/>
      <c r="I20" s="15" t="s">
        <v>61</v>
      </c>
      <c r="J20" s="16"/>
    </row>
    <row r="21" spans="1:10" s="3" customFormat="1" ht="33.6">
      <c r="A21" s="83"/>
      <c r="B21" s="83"/>
      <c r="C21" s="83"/>
      <c r="D21" s="83"/>
      <c r="E21" s="68" t="s">
        <v>87</v>
      </c>
      <c r="F21" s="68" t="s">
        <v>87</v>
      </c>
      <c r="G21" s="12" t="s">
        <v>60</v>
      </c>
      <c r="H21" s="15"/>
      <c r="I21" s="15" t="s">
        <v>61</v>
      </c>
      <c r="J21" s="16"/>
    </row>
    <row r="22" spans="1:10" s="3" customFormat="1">
      <c r="A22" s="84" t="s">
        <v>88</v>
      </c>
      <c r="B22" s="84"/>
      <c r="C22" s="84"/>
      <c r="D22" s="84"/>
      <c r="E22" s="84"/>
      <c r="F22" s="86"/>
      <c r="G22" s="86"/>
      <c r="H22" s="113"/>
      <c r="I22" s="113"/>
      <c r="J22" s="113"/>
    </row>
    <row r="23" spans="1:10" s="3" customFormat="1" ht="33.6">
      <c r="A23" s="13" t="s">
        <v>89</v>
      </c>
      <c r="B23" s="68"/>
      <c r="C23" s="68"/>
      <c r="D23" s="68"/>
      <c r="E23" s="68"/>
      <c r="F23" s="68"/>
      <c r="G23" s="12" t="s">
        <v>60</v>
      </c>
      <c r="H23" s="15"/>
      <c r="I23" s="15" t="s">
        <v>61</v>
      </c>
      <c r="J23" s="16"/>
    </row>
    <row r="24" spans="1:10" s="3" customFormat="1">
      <c r="A24" s="83" t="s">
        <v>90</v>
      </c>
      <c r="B24" s="83" t="s">
        <v>91</v>
      </c>
      <c r="C24" s="83" t="s">
        <v>92</v>
      </c>
      <c r="D24" s="83" t="s">
        <v>93</v>
      </c>
      <c r="E24" s="68" t="s">
        <v>94</v>
      </c>
      <c r="F24" s="68" t="s">
        <v>94</v>
      </c>
      <c r="G24" s="12" t="s">
        <v>60</v>
      </c>
      <c r="H24" s="15"/>
      <c r="I24" s="15" t="s">
        <v>61</v>
      </c>
      <c r="J24" s="16"/>
    </row>
    <row r="25" spans="1:10" s="3" customFormat="1">
      <c r="A25" s="83"/>
      <c r="B25" s="83"/>
      <c r="C25" s="83"/>
      <c r="D25" s="83"/>
      <c r="E25" s="68" t="s">
        <v>95</v>
      </c>
      <c r="F25" s="68" t="s">
        <v>95</v>
      </c>
      <c r="G25" s="12" t="s">
        <v>60</v>
      </c>
      <c r="H25" s="15"/>
      <c r="I25" s="15" t="s">
        <v>61</v>
      </c>
      <c r="J25" s="16"/>
    </row>
    <row r="26" spans="1:10" s="3" customFormat="1" ht="33.6">
      <c r="A26" s="83"/>
      <c r="B26" s="83"/>
      <c r="C26" s="83"/>
      <c r="D26" s="83"/>
      <c r="E26" s="68" t="s">
        <v>96</v>
      </c>
      <c r="F26" s="68" t="s">
        <v>96</v>
      </c>
      <c r="G26" s="12" t="s">
        <v>60</v>
      </c>
      <c r="H26" s="15"/>
      <c r="I26" s="15" t="s">
        <v>61</v>
      </c>
      <c r="J26" s="16"/>
    </row>
    <row r="27" spans="1:10" s="3" customFormat="1">
      <c r="A27" s="83" t="s">
        <v>97</v>
      </c>
      <c r="B27" s="83" t="s">
        <v>98</v>
      </c>
      <c r="C27" s="83" t="s">
        <v>99</v>
      </c>
      <c r="D27" s="83" t="s">
        <v>100</v>
      </c>
      <c r="E27" s="68" t="s">
        <v>101</v>
      </c>
      <c r="F27" s="68" t="s">
        <v>101</v>
      </c>
      <c r="G27" s="12" t="s">
        <v>60</v>
      </c>
      <c r="H27" s="15"/>
      <c r="I27" s="15" t="s">
        <v>61</v>
      </c>
      <c r="J27" s="16"/>
    </row>
    <row r="28" spans="1:10" s="3" customFormat="1">
      <c r="A28" s="83"/>
      <c r="B28" s="83"/>
      <c r="C28" s="83"/>
      <c r="D28" s="83"/>
      <c r="E28" s="68" t="s">
        <v>102</v>
      </c>
      <c r="F28" s="68" t="s">
        <v>102</v>
      </c>
      <c r="G28" s="12" t="s">
        <v>60</v>
      </c>
      <c r="H28" s="15"/>
      <c r="I28" s="15" t="s">
        <v>61</v>
      </c>
      <c r="J28" s="16"/>
    </row>
    <row r="29" spans="1:10" s="3" customFormat="1" ht="33.6">
      <c r="A29" s="13" t="s">
        <v>103</v>
      </c>
      <c r="B29" s="68"/>
      <c r="C29" s="68"/>
      <c r="D29" s="68"/>
      <c r="E29" s="68"/>
      <c r="F29" s="68"/>
      <c r="G29" s="12" t="s">
        <v>60</v>
      </c>
      <c r="H29" s="15"/>
      <c r="I29" s="15" t="s">
        <v>61</v>
      </c>
      <c r="J29" s="16"/>
    </row>
    <row r="30" spans="1:10" s="3" customFormat="1">
      <c r="A30" s="83" t="s">
        <v>104</v>
      </c>
      <c r="B30" s="83" t="s">
        <v>105</v>
      </c>
      <c r="C30" s="83" t="s">
        <v>106</v>
      </c>
      <c r="D30" s="83"/>
      <c r="E30" s="68" t="s">
        <v>107</v>
      </c>
      <c r="F30" s="68" t="s">
        <v>107</v>
      </c>
      <c r="G30" s="12" t="s">
        <v>60</v>
      </c>
      <c r="H30" s="15"/>
      <c r="I30" s="15" t="s">
        <v>61</v>
      </c>
      <c r="J30" s="16"/>
    </row>
    <row r="31" spans="1:10" s="3" customFormat="1">
      <c r="A31" s="83"/>
      <c r="B31" s="83"/>
      <c r="C31" s="83"/>
      <c r="D31" s="83"/>
      <c r="E31" s="68" t="s">
        <v>108</v>
      </c>
      <c r="F31" s="68" t="s">
        <v>108</v>
      </c>
      <c r="G31" s="12" t="s">
        <v>60</v>
      </c>
      <c r="H31" s="15"/>
      <c r="I31" s="15" t="s">
        <v>61</v>
      </c>
      <c r="J31" s="16"/>
    </row>
    <row r="32" spans="1:10" ht="33.6">
      <c r="A32" s="83"/>
      <c r="B32" s="83"/>
      <c r="C32" s="83"/>
      <c r="D32" s="83"/>
      <c r="E32" s="68" t="s">
        <v>109</v>
      </c>
      <c r="F32" s="68" t="s">
        <v>109</v>
      </c>
      <c r="G32" s="12" t="s">
        <v>60</v>
      </c>
      <c r="H32" s="15"/>
      <c r="I32" s="15" t="s">
        <v>61</v>
      </c>
      <c r="J32" s="16"/>
    </row>
    <row r="33" spans="1:10" ht="33.6">
      <c r="A33" s="68" t="s">
        <v>110</v>
      </c>
      <c r="B33" s="68" t="s">
        <v>111</v>
      </c>
      <c r="C33" s="68" t="s">
        <v>112</v>
      </c>
      <c r="D33" s="68"/>
      <c r="E33" s="68" t="s">
        <v>113</v>
      </c>
      <c r="F33" s="68" t="s">
        <v>113</v>
      </c>
      <c r="G33" s="12" t="s">
        <v>60</v>
      </c>
      <c r="H33" s="15"/>
      <c r="I33" s="15" t="s">
        <v>61</v>
      </c>
      <c r="J33" s="16"/>
    </row>
    <row r="34" spans="1:10">
      <c r="A34" s="83" t="s">
        <v>114</v>
      </c>
      <c r="B34" s="83" t="s">
        <v>115</v>
      </c>
      <c r="C34" s="83" t="s">
        <v>116</v>
      </c>
      <c r="D34" s="83"/>
      <c r="E34" s="68" t="s">
        <v>117</v>
      </c>
      <c r="F34" s="68" t="s">
        <v>117</v>
      </c>
      <c r="G34" s="12" t="s">
        <v>60</v>
      </c>
      <c r="H34" s="15"/>
      <c r="I34" s="15" t="s">
        <v>61</v>
      </c>
      <c r="J34" s="16"/>
    </row>
    <row r="35" spans="1:10">
      <c r="A35" s="83"/>
      <c r="B35" s="83"/>
      <c r="C35" s="83"/>
      <c r="D35" s="83"/>
      <c r="E35" s="68" t="s">
        <v>118</v>
      </c>
      <c r="F35" s="68" t="s">
        <v>118</v>
      </c>
      <c r="G35" s="12" t="s">
        <v>60</v>
      </c>
      <c r="H35" s="15"/>
      <c r="I35" s="15" t="s">
        <v>61</v>
      </c>
      <c r="J35" s="16"/>
    </row>
    <row r="36" spans="1:10" ht="33.6">
      <c r="A36" s="83" t="s">
        <v>119</v>
      </c>
      <c r="B36" s="83" t="s">
        <v>120</v>
      </c>
      <c r="C36" s="83" t="s">
        <v>121</v>
      </c>
      <c r="D36" s="83" t="s">
        <v>122</v>
      </c>
      <c r="E36" s="68" t="s">
        <v>123</v>
      </c>
      <c r="F36" s="68" t="s">
        <v>123</v>
      </c>
      <c r="G36" s="12" t="s">
        <v>60</v>
      </c>
      <c r="H36" s="15"/>
      <c r="I36" s="15" t="s">
        <v>61</v>
      </c>
      <c r="J36" s="16"/>
    </row>
    <row r="37" spans="1:10" ht="33.6">
      <c r="A37" s="83"/>
      <c r="B37" s="83"/>
      <c r="C37" s="83"/>
      <c r="D37" s="83"/>
      <c r="E37" s="68" t="s">
        <v>124</v>
      </c>
      <c r="F37" s="68" t="s">
        <v>124</v>
      </c>
      <c r="G37" s="12" t="s">
        <v>60</v>
      </c>
      <c r="H37" s="15"/>
      <c r="I37" s="15" t="s">
        <v>61</v>
      </c>
      <c r="J37" s="16"/>
    </row>
    <row r="38" spans="1:10">
      <c r="A38" s="13" t="s">
        <v>125</v>
      </c>
      <c r="B38" s="68"/>
      <c r="C38" s="68"/>
      <c r="D38" s="68"/>
      <c r="E38" s="68"/>
      <c r="F38" s="68"/>
      <c r="G38" s="12" t="s">
        <v>60</v>
      </c>
      <c r="H38" s="15"/>
      <c r="I38" s="15" t="s">
        <v>61</v>
      </c>
      <c r="J38" s="16"/>
    </row>
    <row r="39" spans="1:10">
      <c r="A39" s="83" t="s">
        <v>126</v>
      </c>
      <c r="B39" s="83" t="s">
        <v>127</v>
      </c>
      <c r="C39" s="83"/>
      <c r="D39" s="83" t="s">
        <v>128</v>
      </c>
      <c r="E39" s="68" t="s">
        <v>129</v>
      </c>
      <c r="F39" s="68" t="s">
        <v>129</v>
      </c>
      <c r="G39" s="12" t="s">
        <v>60</v>
      </c>
      <c r="H39" s="15"/>
      <c r="I39" s="15" t="s">
        <v>61</v>
      </c>
      <c r="J39" s="16"/>
    </row>
    <row r="40" spans="1:10" ht="50.45">
      <c r="A40" s="83"/>
      <c r="B40" s="83"/>
      <c r="C40" s="83"/>
      <c r="D40" s="83"/>
      <c r="E40" s="68" t="s">
        <v>130</v>
      </c>
      <c r="F40" s="68" t="s">
        <v>130</v>
      </c>
      <c r="G40" s="12" t="s">
        <v>60</v>
      </c>
      <c r="H40" s="15"/>
      <c r="I40" s="15" t="s">
        <v>61</v>
      </c>
      <c r="J40" s="16"/>
    </row>
    <row r="41" spans="1:10" ht="33.6">
      <c r="A41" s="68" t="s">
        <v>131</v>
      </c>
      <c r="B41" s="68" t="s">
        <v>132</v>
      </c>
      <c r="C41" s="68" t="s">
        <v>133</v>
      </c>
      <c r="D41" s="68" t="s">
        <v>134</v>
      </c>
      <c r="E41" s="68" t="s">
        <v>135</v>
      </c>
      <c r="F41" s="68" t="s">
        <v>135</v>
      </c>
      <c r="G41" s="12" t="s">
        <v>60</v>
      </c>
      <c r="H41" s="15"/>
      <c r="I41" s="15" t="s">
        <v>61</v>
      </c>
      <c r="J41" s="16"/>
    </row>
    <row r="42" spans="1:10" ht="33.6">
      <c r="A42" s="68" t="s">
        <v>136</v>
      </c>
      <c r="B42" s="68" t="s">
        <v>137</v>
      </c>
      <c r="C42" s="68" t="s">
        <v>138</v>
      </c>
      <c r="D42" s="68" t="s">
        <v>139</v>
      </c>
      <c r="E42" s="68" t="s">
        <v>140</v>
      </c>
      <c r="F42" s="68" t="s">
        <v>140</v>
      </c>
      <c r="G42" s="12" t="s">
        <v>60</v>
      </c>
      <c r="H42" s="15"/>
      <c r="I42" s="15" t="s">
        <v>61</v>
      </c>
      <c r="J42" s="16"/>
    </row>
    <row r="43" spans="1:10" ht="50.45">
      <c r="A43" s="68" t="s">
        <v>141</v>
      </c>
      <c r="B43" s="68" t="s">
        <v>142</v>
      </c>
      <c r="C43" s="68" t="s">
        <v>143</v>
      </c>
      <c r="D43" s="68" t="s">
        <v>144</v>
      </c>
      <c r="E43" s="68" t="s">
        <v>145</v>
      </c>
      <c r="F43" s="68" t="s">
        <v>145</v>
      </c>
      <c r="G43" s="18" t="s">
        <v>146</v>
      </c>
      <c r="H43" s="15"/>
      <c r="I43" s="15" t="s">
        <v>61</v>
      </c>
      <c r="J43" s="16"/>
    </row>
  </sheetData>
  <mergeCells count="53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2:J22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39:A40"/>
    <mergeCell ref="B39:B40"/>
    <mergeCell ref="C39:C40"/>
    <mergeCell ref="D39:D40"/>
    <mergeCell ref="A30:A32"/>
    <mergeCell ref="B30:B32"/>
    <mergeCell ref="C30:C32"/>
    <mergeCell ref="D30:D32"/>
    <mergeCell ref="A34:A35"/>
    <mergeCell ref="B34:B35"/>
    <mergeCell ref="C34:C35"/>
    <mergeCell ref="D34:D35"/>
    <mergeCell ref="A20:A21"/>
    <mergeCell ref="B20:B21"/>
    <mergeCell ref="C20:C21"/>
    <mergeCell ref="D20:D21"/>
    <mergeCell ref="A36:A37"/>
    <mergeCell ref="B36:B37"/>
    <mergeCell ref="C36:C37"/>
    <mergeCell ref="D36:D37"/>
    <mergeCell ref="A24:A26"/>
    <mergeCell ref="B24:B26"/>
    <mergeCell ref="C24:C26"/>
    <mergeCell ref="D24:D26"/>
    <mergeCell ref="A27:A28"/>
    <mergeCell ref="B27:B28"/>
    <mergeCell ref="C27:C28"/>
    <mergeCell ref="D27:D28"/>
  </mergeCells>
  <conditionalFormatting sqref="G12:G21 G23:G43">
    <cfRule type="containsText" dxfId="27" priority="1" operator="containsText" text="Hoàn thành">
      <formula>NOT(ISERROR(SEARCH("Hoàn thành",G12)))</formula>
    </cfRule>
    <cfRule type="containsText" dxfId="26" priority="2" operator="containsText" text="Lỗi">
      <formula>NOT(ISERROR(SEARCH("Lỗi",G12)))</formula>
    </cfRule>
    <cfRule type="containsText" dxfId="25" priority="3" operator="containsText" text="Hoàn thành">
      <formula>NOT(ISERROR(SEARCH("Hoàn thành",G12)))</formula>
    </cfRule>
    <cfRule type="containsText" dxfId="24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1 G23:G43" xr:uid="{13DC3AFA-DB67-4B72-A573-68F34F94CC54}">
      <formula1>"Pass, Fail, Chưa kiểm tra, Bị chặn"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240F-2A70-4DAC-B0ED-BC37CFC2B325}">
  <sheetPr>
    <tabColor theme="4"/>
  </sheetPr>
  <dimension ref="A1:J40"/>
  <sheetViews>
    <sheetView topLeftCell="B18" zoomScale="76" workbookViewId="0">
      <selection activeCell="G18" sqref="G18:G24"/>
    </sheetView>
  </sheetViews>
  <sheetFormatPr defaultColWidth="9.140625" defaultRowHeight="16.899999999999999"/>
  <cols>
    <col min="1" max="1" width="21.28515625" style="11" bestFit="1" customWidth="1"/>
    <col min="2" max="2" width="47.28515625" style="11" customWidth="1"/>
    <col min="3" max="3" width="34.285156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703125" style="11" bestFit="1" customWidth="1"/>
    <col min="9" max="9" width="22.7109375" style="11" bestFit="1" customWidth="1"/>
    <col min="10" max="10" width="16" style="11" bestFit="1" customWidth="1"/>
    <col min="11" max="16384" width="9.140625" style="11"/>
  </cols>
  <sheetData>
    <row r="1" spans="1:10" s="3" customFormat="1">
      <c r="A1" s="101" t="s">
        <v>36</v>
      </c>
      <c r="B1" s="102" t="s">
        <v>37</v>
      </c>
      <c r="C1" s="102"/>
      <c r="D1" s="102"/>
      <c r="E1" s="102"/>
      <c r="F1" s="102"/>
      <c r="G1" s="1"/>
      <c r="H1" s="2"/>
    </row>
    <row r="2" spans="1:10" s="3" customFormat="1">
      <c r="A2" s="101" t="s">
        <v>38</v>
      </c>
      <c r="B2" s="103" t="s">
        <v>22</v>
      </c>
      <c r="C2" s="103"/>
      <c r="D2" s="103"/>
      <c r="E2" s="103"/>
      <c r="F2" s="103"/>
      <c r="G2" s="1"/>
      <c r="H2" s="2"/>
    </row>
    <row r="3" spans="1:10" s="3" customFormat="1">
      <c r="A3" s="104"/>
      <c r="B3" s="105" t="s">
        <v>10</v>
      </c>
      <c r="C3" s="105" t="s">
        <v>11</v>
      </c>
      <c r="D3" s="105" t="s">
        <v>39</v>
      </c>
      <c r="E3" s="105" t="s">
        <v>40</v>
      </c>
      <c r="F3" s="105" t="s">
        <v>41</v>
      </c>
      <c r="G3" s="1"/>
      <c r="H3" s="2"/>
    </row>
    <row r="4" spans="1:10" s="3" customFormat="1">
      <c r="A4" s="106" t="s">
        <v>42</v>
      </c>
      <c r="B4" s="107">
        <v>18</v>
      </c>
      <c r="C4" s="107">
        <v>0</v>
      </c>
      <c r="D4" s="104">
        <v>0</v>
      </c>
      <c r="E4" s="108">
        <v>0</v>
      </c>
      <c r="F4" s="104">
        <f>SUM(B4:E4)</f>
        <v>18</v>
      </c>
      <c r="G4" s="1"/>
      <c r="H4" s="2"/>
    </row>
    <row r="5" spans="1:10" s="3" customFormat="1">
      <c r="A5" s="106" t="s">
        <v>43</v>
      </c>
      <c r="B5" s="107">
        <v>18</v>
      </c>
      <c r="C5" s="107">
        <v>0</v>
      </c>
      <c r="D5" s="104">
        <v>0</v>
      </c>
      <c r="E5" s="108">
        <v>0</v>
      </c>
      <c r="F5" s="104">
        <f>SUM(B5:E5)</f>
        <v>18</v>
      </c>
      <c r="G5" s="1"/>
      <c r="H5" s="2"/>
    </row>
    <row r="6" spans="1:10" s="3" customFormat="1">
      <c r="A6" s="4"/>
      <c r="B6" s="5"/>
      <c r="E6" s="6"/>
      <c r="G6" s="1"/>
      <c r="H6" s="2"/>
    </row>
    <row r="7" spans="1:10" s="3" customFormat="1" ht="14.45" customHeight="1">
      <c r="A7" s="4"/>
      <c r="B7" s="5"/>
      <c r="E7" s="6"/>
      <c r="G7" s="1"/>
      <c r="H7" s="2"/>
    </row>
    <row r="8" spans="1:10" s="3" customFormat="1">
      <c r="A8" s="109" t="s">
        <v>44</v>
      </c>
      <c r="B8" s="109" t="s">
        <v>45</v>
      </c>
      <c r="C8" s="109" t="s">
        <v>46</v>
      </c>
      <c r="D8" s="109" t="s">
        <v>47</v>
      </c>
      <c r="E8" s="109" t="s">
        <v>48</v>
      </c>
      <c r="F8" s="109" t="s">
        <v>49</v>
      </c>
      <c r="G8" s="109" t="s">
        <v>50</v>
      </c>
      <c r="H8" s="109"/>
      <c r="I8" s="109"/>
      <c r="J8" s="109" t="s">
        <v>51</v>
      </c>
    </row>
    <row r="9" spans="1:10" s="3" customFormat="1">
      <c r="A9" s="109"/>
      <c r="B9" s="109"/>
      <c r="C9" s="109"/>
      <c r="D9" s="109"/>
      <c r="E9" s="109"/>
      <c r="F9" s="109"/>
      <c r="G9" s="109" t="s">
        <v>19</v>
      </c>
      <c r="H9" s="109"/>
      <c r="I9" s="109"/>
      <c r="J9" s="109"/>
    </row>
    <row r="10" spans="1:10" s="3" customFormat="1">
      <c r="A10" s="109"/>
      <c r="B10" s="109"/>
      <c r="C10" s="109"/>
      <c r="D10" s="109"/>
      <c r="E10" s="109"/>
      <c r="F10" s="109"/>
      <c r="G10" s="110" t="s">
        <v>52</v>
      </c>
      <c r="H10" s="111" t="s">
        <v>53</v>
      </c>
      <c r="I10" s="105" t="s">
        <v>54</v>
      </c>
      <c r="J10" s="109"/>
    </row>
    <row r="11" spans="1:10" s="3" customFormat="1">
      <c r="A11" s="85" t="s">
        <v>147</v>
      </c>
      <c r="B11" s="85"/>
      <c r="C11" s="85"/>
      <c r="D11" s="85"/>
      <c r="E11" s="85"/>
      <c r="F11" s="85"/>
      <c r="G11" s="85"/>
      <c r="H11" s="112"/>
      <c r="I11" s="112"/>
      <c r="J11" s="112"/>
    </row>
    <row r="12" spans="1:10" s="3" customFormat="1">
      <c r="A12" s="83" t="s">
        <v>148</v>
      </c>
      <c r="B12" s="83" t="s">
        <v>149</v>
      </c>
      <c r="C12" s="83" t="s">
        <v>150</v>
      </c>
      <c r="D12" s="83"/>
      <c r="E12" s="68" t="s">
        <v>151</v>
      </c>
      <c r="F12" s="68" t="s">
        <v>151</v>
      </c>
      <c r="G12" s="14" t="s">
        <v>60</v>
      </c>
      <c r="H12" s="15"/>
      <c r="I12" s="15" t="s">
        <v>61</v>
      </c>
      <c r="J12" s="16"/>
    </row>
    <row r="13" spans="1:10" s="3" customFormat="1" ht="33.6">
      <c r="A13" s="83"/>
      <c r="B13" s="83"/>
      <c r="C13" s="83"/>
      <c r="D13" s="83"/>
      <c r="E13" s="68" t="s">
        <v>152</v>
      </c>
      <c r="F13" s="68" t="s">
        <v>152</v>
      </c>
      <c r="G13" s="14" t="s">
        <v>60</v>
      </c>
      <c r="H13" s="15"/>
      <c r="I13" s="15" t="s">
        <v>61</v>
      </c>
      <c r="J13" s="16"/>
    </row>
    <row r="14" spans="1:10" s="3" customFormat="1">
      <c r="A14" s="83"/>
      <c r="B14" s="83"/>
      <c r="C14" s="83"/>
      <c r="D14" s="83"/>
      <c r="E14" s="68" t="s">
        <v>153</v>
      </c>
      <c r="F14" s="68" t="s">
        <v>153</v>
      </c>
      <c r="G14" s="14" t="s">
        <v>60</v>
      </c>
      <c r="H14" s="15"/>
      <c r="I14" s="15" t="s">
        <v>61</v>
      </c>
      <c r="J14" s="16"/>
    </row>
    <row r="15" spans="1:10" s="3" customFormat="1" ht="50.45">
      <c r="A15" s="68" t="s">
        <v>154</v>
      </c>
      <c r="B15" s="68" t="s">
        <v>155</v>
      </c>
      <c r="C15" s="68" t="s">
        <v>156</v>
      </c>
      <c r="D15" s="68"/>
      <c r="E15" s="68" t="s">
        <v>157</v>
      </c>
      <c r="F15" s="68" t="s">
        <v>157</v>
      </c>
      <c r="G15" s="14" t="s">
        <v>60</v>
      </c>
      <c r="H15" s="15"/>
      <c r="I15" s="15" t="s">
        <v>61</v>
      </c>
      <c r="J15" s="16"/>
    </row>
    <row r="16" spans="1:10" s="3" customFormat="1" ht="33.6" customHeight="1">
      <c r="A16" s="83" t="s">
        <v>158</v>
      </c>
      <c r="B16" s="83" t="s">
        <v>159</v>
      </c>
      <c r="C16" s="83" t="s">
        <v>160</v>
      </c>
      <c r="D16" s="83"/>
      <c r="E16" s="68" t="s">
        <v>161</v>
      </c>
      <c r="F16" s="68" t="s">
        <v>161</v>
      </c>
      <c r="G16" s="14" t="s">
        <v>60</v>
      </c>
      <c r="H16" s="15"/>
      <c r="I16" s="15" t="s">
        <v>61</v>
      </c>
      <c r="J16" s="16"/>
    </row>
    <row r="17" spans="1:10" s="3" customFormat="1" ht="33.6">
      <c r="A17" s="83"/>
      <c r="B17" s="83"/>
      <c r="C17" s="83"/>
      <c r="D17" s="83"/>
      <c r="E17" s="68" t="s">
        <v>162</v>
      </c>
      <c r="F17" s="68" t="s">
        <v>162</v>
      </c>
      <c r="G17" s="14" t="s">
        <v>60</v>
      </c>
      <c r="H17" s="15"/>
      <c r="I17" s="15" t="s">
        <v>61</v>
      </c>
      <c r="J17" s="16"/>
    </row>
    <row r="18" spans="1:10" s="3" customFormat="1" ht="67.150000000000006">
      <c r="A18" s="68" t="s">
        <v>163</v>
      </c>
      <c r="B18" s="68" t="s">
        <v>164</v>
      </c>
      <c r="C18" s="68" t="s">
        <v>165</v>
      </c>
      <c r="D18" s="68" t="s">
        <v>166</v>
      </c>
      <c r="E18" s="68" t="s">
        <v>167</v>
      </c>
      <c r="F18" s="68" t="s">
        <v>167</v>
      </c>
      <c r="G18" s="14" t="s">
        <v>60</v>
      </c>
      <c r="H18" s="15"/>
      <c r="I18" s="15" t="s">
        <v>61</v>
      </c>
      <c r="J18" s="16"/>
    </row>
    <row r="19" spans="1:10" s="3" customFormat="1">
      <c r="A19" s="83" t="s">
        <v>168</v>
      </c>
      <c r="B19" s="83" t="s">
        <v>169</v>
      </c>
      <c r="C19" s="83" t="s">
        <v>170</v>
      </c>
      <c r="D19" s="83" t="s">
        <v>171</v>
      </c>
      <c r="E19" s="68" t="s">
        <v>172</v>
      </c>
      <c r="F19" s="68" t="s">
        <v>172</v>
      </c>
      <c r="G19" s="14" t="s">
        <v>60</v>
      </c>
      <c r="H19" s="15"/>
      <c r="I19" s="15" t="s">
        <v>61</v>
      </c>
      <c r="J19" s="16"/>
    </row>
    <row r="20" spans="1:10" s="3" customFormat="1" ht="33.6">
      <c r="A20" s="83"/>
      <c r="B20" s="83"/>
      <c r="C20" s="83"/>
      <c r="D20" s="83"/>
      <c r="E20" s="68" t="s">
        <v>173</v>
      </c>
      <c r="F20" s="68" t="s">
        <v>173</v>
      </c>
      <c r="G20" s="14" t="s">
        <v>60</v>
      </c>
      <c r="H20" s="15"/>
      <c r="I20" s="15" t="s">
        <v>61</v>
      </c>
      <c r="J20" s="16"/>
    </row>
    <row r="21" spans="1:10" s="3" customFormat="1" ht="50.45">
      <c r="A21" s="68" t="s">
        <v>174</v>
      </c>
      <c r="B21" s="68" t="s">
        <v>175</v>
      </c>
      <c r="C21" s="68" t="s">
        <v>176</v>
      </c>
      <c r="D21" s="68"/>
      <c r="E21" s="68" t="s">
        <v>177</v>
      </c>
      <c r="F21" s="68" t="s">
        <v>177</v>
      </c>
      <c r="G21" s="14" t="s">
        <v>60</v>
      </c>
      <c r="H21" s="15"/>
      <c r="I21" s="15" t="s">
        <v>61</v>
      </c>
      <c r="J21" s="16"/>
    </row>
    <row r="22" spans="1:10" s="3" customFormat="1" ht="33.6">
      <c r="A22" s="68" t="s">
        <v>178</v>
      </c>
      <c r="B22" s="68" t="s">
        <v>179</v>
      </c>
      <c r="C22" s="68" t="s">
        <v>180</v>
      </c>
      <c r="D22" s="68" t="s">
        <v>181</v>
      </c>
      <c r="E22" s="68" t="s">
        <v>182</v>
      </c>
      <c r="F22" s="68" t="s">
        <v>182</v>
      </c>
      <c r="G22" s="14" t="s">
        <v>60</v>
      </c>
      <c r="H22" s="15"/>
      <c r="I22" s="15" t="s">
        <v>61</v>
      </c>
      <c r="J22" s="16"/>
    </row>
    <row r="23" spans="1:10" s="3" customFormat="1" ht="33.6">
      <c r="A23" s="68" t="s">
        <v>183</v>
      </c>
      <c r="B23" s="68" t="s">
        <v>184</v>
      </c>
      <c r="C23" s="68" t="s">
        <v>185</v>
      </c>
      <c r="D23" s="68"/>
      <c r="E23" s="68" t="s">
        <v>186</v>
      </c>
      <c r="F23" s="68" t="s">
        <v>186</v>
      </c>
      <c r="G23" s="14" t="s">
        <v>60</v>
      </c>
      <c r="H23" s="15"/>
      <c r="I23" s="15" t="s">
        <v>61</v>
      </c>
      <c r="J23" s="16"/>
    </row>
    <row r="24" spans="1:10" s="3" customFormat="1" ht="33.6">
      <c r="A24" s="68" t="s">
        <v>187</v>
      </c>
      <c r="B24" s="68" t="s">
        <v>188</v>
      </c>
      <c r="C24" s="68" t="s">
        <v>189</v>
      </c>
      <c r="D24" s="68" t="s">
        <v>190</v>
      </c>
      <c r="E24" s="68" t="s">
        <v>191</v>
      </c>
      <c r="F24" s="68" t="s">
        <v>191</v>
      </c>
      <c r="G24" s="14" t="s">
        <v>60</v>
      </c>
      <c r="H24" s="15"/>
      <c r="I24" s="15" t="s">
        <v>61</v>
      </c>
      <c r="J24" s="16"/>
    </row>
    <row r="25" spans="1:10" s="3" customFormat="1">
      <c r="A25" s="84" t="s">
        <v>192</v>
      </c>
      <c r="B25" s="84"/>
      <c r="C25" s="84"/>
      <c r="D25" s="84"/>
      <c r="E25" s="84"/>
      <c r="F25" s="86"/>
      <c r="G25" s="86"/>
      <c r="H25" s="113"/>
      <c r="I25" s="113"/>
      <c r="J25" s="113"/>
    </row>
    <row r="26" spans="1:10" s="3" customFormat="1" ht="50.45">
      <c r="A26" s="13" t="s">
        <v>193</v>
      </c>
      <c r="B26" s="68"/>
      <c r="C26" s="68"/>
      <c r="D26" s="68"/>
      <c r="E26" s="68"/>
      <c r="F26" s="17"/>
      <c r="G26" s="12" t="s">
        <v>60</v>
      </c>
      <c r="H26" s="15"/>
      <c r="I26" s="15" t="s">
        <v>61</v>
      </c>
      <c r="J26" s="16"/>
    </row>
    <row r="27" spans="1:10" s="3" customFormat="1" ht="33.6">
      <c r="A27" s="68" t="s">
        <v>194</v>
      </c>
      <c r="B27" s="68" t="s">
        <v>195</v>
      </c>
      <c r="C27" s="68" t="s">
        <v>196</v>
      </c>
      <c r="D27" s="68" t="s">
        <v>197</v>
      </c>
      <c r="E27" s="68" t="s">
        <v>198</v>
      </c>
      <c r="F27" s="68" t="s">
        <v>198</v>
      </c>
      <c r="G27" s="12" t="s">
        <v>60</v>
      </c>
      <c r="H27" s="15"/>
      <c r="I27" s="15" t="s">
        <v>61</v>
      </c>
      <c r="J27" s="16"/>
    </row>
    <row r="28" spans="1:10" s="3" customFormat="1" ht="50.45">
      <c r="A28" s="68" t="s">
        <v>199</v>
      </c>
      <c r="B28" s="68" t="s">
        <v>200</v>
      </c>
      <c r="C28" s="68"/>
      <c r="D28" s="68" t="s">
        <v>201</v>
      </c>
      <c r="E28" s="68" t="s">
        <v>202</v>
      </c>
      <c r="F28" s="68" t="s">
        <v>202</v>
      </c>
      <c r="G28" s="12" t="s">
        <v>60</v>
      </c>
      <c r="H28" s="15"/>
      <c r="I28" s="15" t="s">
        <v>61</v>
      </c>
      <c r="J28" s="16"/>
    </row>
    <row r="29" spans="1:10" s="3" customFormat="1" ht="33.6">
      <c r="A29" s="13" t="s">
        <v>203</v>
      </c>
      <c r="B29" s="68"/>
      <c r="C29" s="68"/>
      <c r="D29" s="68"/>
      <c r="E29" s="68"/>
      <c r="F29" s="68"/>
      <c r="G29" s="12" t="s">
        <v>60</v>
      </c>
      <c r="H29" s="15"/>
      <c r="I29" s="15" t="s">
        <v>61</v>
      </c>
      <c r="J29" s="16"/>
    </row>
    <row r="30" spans="1:10" s="3" customFormat="1" ht="33.6">
      <c r="A30" s="68" t="s">
        <v>204</v>
      </c>
      <c r="B30" s="68" t="s">
        <v>205</v>
      </c>
      <c r="C30" s="68" t="s">
        <v>206</v>
      </c>
      <c r="D30" s="68" t="s">
        <v>207</v>
      </c>
      <c r="E30" s="68" t="s">
        <v>208</v>
      </c>
      <c r="F30" s="68" t="s">
        <v>208</v>
      </c>
      <c r="G30" s="12" t="s">
        <v>60</v>
      </c>
      <c r="H30" s="15"/>
      <c r="I30" s="15" t="s">
        <v>61</v>
      </c>
      <c r="J30" s="16"/>
    </row>
    <row r="31" spans="1:10" s="3" customFormat="1" ht="50.45">
      <c r="A31" s="68" t="s">
        <v>209</v>
      </c>
      <c r="B31" s="68" t="s">
        <v>210</v>
      </c>
      <c r="C31" s="68" t="s">
        <v>211</v>
      </c>
      <c r="D31" s="68"/>
      <c r="E31" s="68" t="s">
        <v>212</v>
      </c>
      <c r="F31" s="68" t="s">
        <v>212</v>
      </c>
      <c r="G31" s="12" t="s">
        <v>60</v>
      </c>
      <c r="H31" s="15"/>
      <c r="I31" s="15" t="s">
        <v>61</v>
      </c>
      <c r="J31" s="16"/>
    </row>
    <row r="32" spans="1:10" s="3" customFormat="1">
      <c r="A32" s="83" t="s">
        <v>213</v>
      </c>
      <c r="B32" s="83" t="s">
        <v>214</v>
      </c>
      <c r="C32" s="83" t="s">
        <v>215</v>
      </c>
      <c r="D32" s="83"/>
      <c r="E32" s="68" t="s">
        <v>216</v>
      </c>
      <c r="F32" s="68" t="s">
        <v>216</v>
      </c>
      <c r="G32" s="12" t="s">
        <v>60</v>
      </c>
      <c r="H32" s="15"/>
      <c r="I32" s="15" t="s">
        <v>61</v>
      </c>
      <c r="J32" s="16"/>
    </row>
    <row r="33" spans="1:10" s="3" customFormat="1" ht="33.6">
      <c r="A33" s="83"/>
      <c r="B33" s="83"/>
      <c r="C33" s="83"/>
      <c r="D33" s="83"/>
      <c r="E33" s="68" t="s">
        <v>217</v>
      </c>
      <c r="F33" s="68" t="s">
        <v>217</v>
      </c>
      <c r="G33" s="12" t="s">
        <v>60</v>
      </c>
      <c r="H33" s="15"/>
      <c r="I33" s="15" t="s">
        <v>61</v>
      </c>
      <c r="J33" s="16"/>
    </row>
    <row r="34" spans="1:10" s="3" customFormat="1" ht="33.6">
      <c r="A34" s="13" t="s">
        <v>218</v>
      </c>
      <c r="B34" s="68"/>
      <c r="C34" s="68"/>
      <c r="D34" s="68"/>
      <c r="E34" s="68"/>
      <c r="F34" s="68"/>
      <c r="G34" s="12" t="s">
        <v>60</v>
      </c>
      <c r="H34" s="15"/>
      <c r="I34" s="15" t="s">
        <v>61</v>
      </c>
      <c r="J34" s="16"/>
    </row>
    <row r="35" spans="1:10" ht="33.6">
      <c r="A35" s="68" t="s">
        <v>219</v>
      </c>
      <c r="B35" s="68" t="s">
        <v>220</v>
      </c>
      <c r="C35" s="68" t="s">
        <v>221</v>
      </c>
      <c r="D35" s="68" t="s">
        <v>222</v>
      </c>
      <c r="E35" s="68" t="s">
        <v>223</v>
      </c>
      <c r="F35" s="68" t="s">
        <v>223</v>
      </c>
      <c r="G35" s="12" t="s">
        <v>60</v>
      </c>
      <c r="H35" s="15"/>
      <c r="I35" s="15" t="s">
        <v>61</v>
      </c>
      <c r="J35" s="16"/>
    </row>
    <row r="36" spans="1:10" ht="33.6">
      <c r="A36" s="83" t="s">
        <v>224</v>
      </c>
      <c r="B36" s="83" t="s">
        <v>225</v>
      </c>
      <c r="C36" s="83" t="s">
        <v>226</v>
      </c>
      <c r="D36" s="83"/>
      <c r="E36" s="68" t="s">
        <v>227</v>
      </c>
      <c r="F36" s="68" t="s">
        <v>227</v>
      </c>
      <c r="G36" s="12" t="s">
        <v>60</v>
      </c>
      <c r="H36" s="15"/>
      <c r="I36" s="15" t="s">
        <v>61</v>
      </c>
      <c r="J36" s="16"/>
    </row>
    <row r="37" spans="1:10" ht="33.6">
      <c r="A37" s="83"/>
      <c r="B37" s="83"/>
      <c r="C37" s="83"/>
      <c r="D37" s="83"/>
      <c r="E37" s="68" t="s">
        <v>228</v>
      </c>
      <c r="F37" s="68" t="s">
        <v>228</v>
      </c>
      <c r="G37" s="12" t="s">
        <v>60</v>
      </c>
      <c r="H37" s="15"/>
      <c r="I37" s="15" t="s">
        <v>61</v>
      </c>
      <c r="J37" s="16"/>
    </row>
    <row r="38" spans="1:10" ht="33.6">
      <c r="A38" s="83" t="s">
        <v>229</v>
      </c>
      <c r="B38" s="83" t="s">
        <v>230</v>
      </c>
      <c r="C38" s="83" t="s">
        <v>231</v>
      </c>
      <c r="D38" s="83"/>
      <c r="E38" s="68" t="s">
        <v>232</v>
      </c>
      <c r="F38" s="68" t="s">
        <v>232</v>
      </c>
      <c r="G38" s="12" t="s">
        <v>60</v>
      </c>
      <c r="H38" s="15"/>
      <c r="I38" s="15" t="s">
        <v>61</v>
      </c>
      <c r="J38" s="16"/>
    </row>
    <row r="39" spans="1:10" ht="50.45">
      <c r="A39" s="83"/>
      <c r="B39" s="83"/>
      <c r="C39" s="83"/>
      <c r="D39" s="83"/>
      <c r="E39" s="68" t="s">
        <v>233</v>
      </c>
      <c r="F39" s="68" t="s">
        <v>233</v>
      </c>
      <c r="G39" s="12" t="s">
        <v>60</v>
      </c>
      <c r="H39" s="15"/>
      <c r="I39" s="15" t="s">
        <v>61</v>
      </c>
      <c r="J39" s="16"/>
    </row>
    <row r="40" spans="1:10" ht="33.6">
      <c r="A40" s="68" t="s">
        <v>234</v>
      </c>
      <c r="B40" s="68" t="s">
        <v>235</v>
      </c>
      <c r="C40" s="68" t="s">
        <v>236</v>
      </c>
      <c r="D40" s="68"/>
      <c r="E40" s="68" t="s">
        <v>237</v>
      </c>
      <c r="F40" s="68" t="s">
        <v>237</v>
      </c>
      <c r="G40" s="12" t="s">
        <v>60</v>
      </c>
      <c r="H40" s="15"/>
      <c r="I40" s="15" t="s">
        <v>61</v>
      </c>
      <c r="J40" s="16"/>
    </row>
  </sheetData>
  <mergeCells count="37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5:J25"/>
    <mergeCell ref="A12:A14"/>
    <mergeCell ref="B12:B14"/>
    <mergeCell ref="C12:C14"/>
    <mergeCell ref="D12:D14"/>
    <mergeCell ref="A16:A17"/>
    <mergeCell ref="B16:B17"/>
    <mergeCell ref="C16:C17"/>
    <mergeCell ref="D16:D17"/>
    <mergeCell ref="A19:A20"/>
    <mergeCell ref="B19:B20"/>
    <mergeCell ref="C19:C20"/>
    <mergeCell ref="A38:A39"/>
    <mergeCell ref="B38:B39"/>
    <mergeCell ref="C38:C39"/>
    <mergeCell ref="D38:D39"/>
    <mergeCell ref="A36:A37"/>
    <mergeCell ref="B36:B37"/>
    <mergeCell ref="C36:C37"/>
    <mergeCell ref="D36:D37"/>
    <mergeCell ref="D19:D20"/>
    <mergeCell ref="A32:A33"/>
    <mergeCell ref="B32:B33"/>
    <mergeCell ref="C32:C33"/>
    <mergeCell ref="D32:D33"/>
  </mergeCells>
  <conditionalFormatting sqref="G26:G40 G12:G24">
    <cfRule type="containsText" dxfId="23" priority="1" operator="containsText" text="Hoàn thành">
      <formula>NOT(ISERROR(SEARCH("Hoàn thành",G12)))</formula>
    </cfRule>
    <cfRule type="containsText" dxfId="22" priority="2" operator="containsText" text="Lỗi">
      <formula>NOT(ISERROR(SEARCH("Lỗi",G12)))</formula>
    </cfRule>
    <cfRule type="containsText" dxfId="21" priority="3" operator="containsText" text="Hoàn thành">
      <formula>NOT(ISERROR(SEARCH("Hoàn thành",G12)))</formula>
    </cfRule>
    <cfRule type="containsText" dxfId="20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26:G40 G12:G24" xr:uid="{346B8AAD-F8AC-44F1-A080-185DD17E9A15}">
      <formula1>"Pass, Fail, Chưa kiểm tra, Bị chặn"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C951-C040-4808-BE30-34E142B3C1FD}">
  <sheetPr>
    <tabColor theme="5"/>
  </sheetPr>
  <dimension ref="A1:J42"/>
  <sheetViews>
    <sheetView topLeftCell="A27" zoomScale="60" workbookViewId="0">
      <selection activeCell="H25" sqref="H25:H42"/>
    </sheetView>
  </sheetViews>
  <sheetFormatPr defaultColWidth="9.140625" defaultRowHeight="16.899999999999999"/>
  <cols>
    <col min="1" max="1" width="21.28515625" style="11" bestFit="1" customWidth="1"/>
    <col min="2" max="2" width="47.28515625" style="11" customWidth="1"/>
    <col min="3" max="3" width="34.285156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703125" style="11" bestFit="1" customWidth="1"/>
    <col min="9" max="9" width="22.7109375" style="11" bestFit="1" customWidth="1"/>
    <col min="10" max="10" width="16" style="11" bestFit="1" customWidth="1"/>
    <col min="11" max="16384" width="9.140625" style="11"/>
  </cols>
  <sheetData>
    <row r="1" spans="1:10" s="3" customFormat="1">
      <c r="A1" s="101" t="s">
        <v>36</v>
      </c>
      <c r="B1" s="102" t="s">
        <v>37</v>
      </c>
      <c r="C1" s="102"/>
      <c r="D1" s="102"/>
      <c r="E1" s="102"/>
      <c r="F1" s="102"/>
      <c r="G1" s="1"/>
      <c r="H1" s="2"/>
    </row>
    <row r="2" spans="1:10" s="3" customFormat="1">
      <c r="A2" s="101" t="s">
        <v>38</v>
      </c>
      <c r="B2" s="103" t="s">
        <v>238</v>
      </c>
      <c r="C2" s="103"/>
      <c r="D2" s="103"/>
      <c r="E2" s="103"/>
      <c r="F2" s="103"/>
      <c r="G2" s="1"/>
      <c r="H2" s="2"/>
    </row>
    <row r="3" spans="1:10" s="3" customFormat="1">
      <c r="A3" s="104"/>
      <c r="B3" s="105" t="s">
        <v>10</v>
      </c>
      <c r="C3" s="105" t="s">
        <v>11</v>
      </c>
      <c r="D3" s="105" t="s">
        <v>39</v>
      </c>
      <c r="E3" s="105" t="s">
        <v>40</v>
      </c>
      <c r="F3" s="105" t="s">
        <v>41</v>
      </c>
      <c r="G3" s="1"/>
      <c r="H3" s="2"/>
    </row>
    <row r="4" spans="1:10" s="3" customFormat="1">
      <c r="A4" s="106" t="s">
        <v>42</v>
      </c>
      <c r="B4" s="107">
        <v>19</v>
      </c>
      <c r="C4" s="107">
        <v>1</v>
      </c>
      <c r="D4" s="104">
        <v>0</v>
      </c>
      <c r="E4" s="108">
        <v>0</v>
      </c>
      <c r="F4" s="104">
        <f>SUM(B4:E4)</f>
        <v>20</v>
      </c>
      <c r="G4" s="1"/>
      <c r="H4" s="2"/>
    </row>
    <row r="5" spans="1:10" s="3" customFormat="1">
      <c r="A5" s="106" t="s">
        <v>43</v>
      </c>
      <c r="B5" s="107">
        <v>19</v>
      </c>
      <c r="C5" s="107">
        <v>1</v>
      </c>
      <c r="D5" s="104">
        <v>0</v>
      </c>
      <c r="E5" s="108">
        <v>0</v>
      </c>
      <c r="F5" s="104">
        <f>SUM(B5:E5)</f>
        <v>20</v>
      </c>
      <c r="G5" s="1"/>
      <c r="H5" s="2"/>
    </row>
    <row r="6" spans="1:10" s="3" customFormat="1">
      <c r="A6" s="4"/>
      <c r="B6" s="5"/>
      <c r="E6" s="6"/>
      <c r="G6" s="1"/>
      <c r="H6" s="2"/>
    </row>
    <row r="7" spans="1:10" s="3" customFormat="1" ht="14.45" customHeight="1">
      <c r="A7" s="4"/>
      <c r="B7" s="5"/>
      <c r="E7" s="6"/>
      <c r="G7" s="1"/>
      <c r="H7" s="2"/>
    </row>
    <row r="8" spans="1:10" s="3" customFormat="1">
      <c r="A8" s="109" t="s">
        <v>44</v>
      </c>
      <c r="B8" s="109" t="s">
        <v>45</v>
      </c>
      <c r="C8" s="109" t="s">
        <v>46</v>
      </c>
      <c r="D8" s="109" t="s">
        <v>47</v>
      </c>
      <c r="E8" s="109" t="s">
        <v>48</v>
      </c>
      <c r="F8" s="109" t="s">
        <v>49</v>
      </c>
      <c r="G8" s="109" t="s">
        <v>50</v>
      </c>
      <c r="H8" s="109"/>
      <c r="I8" s="109"/>
      <c r="J8" s="109" t="s">
        <v>51</v>
      </c>
    </row>
    <row r="9" spans="1:10" s="3" customFormat="1">
      <c r="A9" s="109"/>
      <c r="B9" s="109"/>
      <c r="C9" s="109"/>
      <c r="D9" s="109"/>
      <c r="E9" s="109"/>
      <c r="F9" s="109"/>
      <c r="G9" s="109" t="s">
        <v>19</v>
      </c>
      <c r="H9" s="109"/>
      <c r="I9" s="109"/>
      <c r="J9" s="109"/>
    </row>
    <row r="10" spans="1:10" s="3" customFormat="1">
      <c r="A10" s="109"/>
      <c r="B10" s="109"/>
      <c r="C10" s="109"/>
      <c r="D10" s="109"/>
      <c r="E10" s="109"/>
      <c r="F10" s="109"/>
      <c r="G10" s="110" t="s">
        <v>52</v>
      </c>
      <c r="H10" s="111" t="s">
        <v>53</v>
      </c>
      <c r="I10" s="105" t="s">
        <v>54</v>
      </c>
      <c r="J10" s="109"/>
    </row>
    <row r="11" spans="1:10" s="3" customFormat="1">
      <c r="A11" s="85" t="s">
        <v>239</v>
      </c>
      <c r="B11" s="85"/>
      <c r="C11" s="85"/>
      <c r="D11" s="85"/>
      <c r="E11" s="85"/>
      <c r="F11" s="85"/>
      <c r="G11" s="85"/>
      <c r="H11" s="112"/>
      <c r="I11" s="112"/>
      <c r="J11" s="112"/>
    </row>
    <row r="12" spans="1:10" s="3" customFormat="1" ht="50.45">
      <c r="A12" s="68" t="s">
        <v>240</v>
      </c>
      <c r="B12" s="68" t="s">
        <v>241</v>
      </c>
      <c r="C12" s="68" t="s">
        <v>242</v>
      </c>
      <c r="D12" s="68"/>
      <c r="E12" s="68" t="s">
        <v>243</v>
      </c>
      <c r="F12" s="68" t="s">
        <v>243</v>
      </c>
      <c r="G12" s="14" t="s">
        <v>60</v>
      </c>
      <c r="H12" s="15"/>
      <c r="I12" s="15" t="s">
        <v>244</v>
      </c>
      <c r="J12" s="16"/>
    </row>
    <row r="13" spans="1:10" s="3" customFormat="1" ht="50.45">
      <c r="A13" s="68" t="s">
        <v>245</v>
      </c>
      <c r="B13" s="68" t="s">
        <v>246</v>
      </c>
      <c r="C13" s="68" t="s">
        <v>247</v>
      </c>
      <c r="D13" s="68"/>
      <c r="E13" s="68" t="s">
        <v>248</v>
      </c>
      <c r="F13" s="68" t="s">
        <v>248</v>
      </c>
      <c r="G13" s="14" t="s">
        <v>60</v>
      </c>
      <c r="H13" s="15"/>
      <c r="I13" s="15" t="s">
        <v>244</v>
      </c>
      <c r="J13" s="16"/>
    </row>
    <row r="14" spans="1:10" s="3" customFormat="1" ht="50.45">
      <c r="A14" s="68" t="s">
        <v>249</v>
      </c>
      <c r="B14" s="68" t="s">
        <v>250</v>
      </c>
      <c r="C14" s="68" t="s">
        <v>251</v>
      </c>
      <c r="D14" s="68" t="s">
        <v>252</v>
      </c>
      <c r="E14" s="68" t="s">
        <v>253</v>
      </c>
      <c r="F14" s="68" t="s">
        <v>253</v>
      </c>
      <c r="G14" s="14" t="s">
        <v>60</v>
      </c>
      <c r="H14" s="15"/>
      <c r="I14" s="15" t="s">
        <v>244</v>
      </c>
      <c r="J14" s="16"/>
    </row>
    <row r="15" spans="1:10" s="3" customFormat="1" ht="50.45">
      <c r="A15" s="68" t="s">
        <v>254</v>
      </c>
      <c r="B15" s="68" t="s">
        <v>255</v>
      </c>
      <c r="C15" s="68" t="s">
        <v>256</v>
      </c>
      <c r="D15" s="68"/>
      <c r="E15" s="68" t="s">
        <v>257</v>
      </c>
      <c r="F15" s="68" t="s">
        <v>257</v>
      </c>
      <c r="G15" s="14" t="s">
        <v>60</v>
      </c>
      <c r="H15" s="15"/>
      <c r="I15" s="15" t="s">
        <v>244</v>
      </c>
      <c r="J15" s="16"/>
    </row>
    <row r="16" spans="1:10" s="3" customFormat="1" ht="33.6">
      <c r="A16" s="83" t="s">
        <v>258</v>
      </c>
      <c r="B16" s="83" t="s">
        <v>259</v>
      </c>
      <c r="C16" s="83" t="s">
        <v>260</v>
      </c>
      <c r="D16" s="83"/>
      <c r="E16" s="68" t="s">
        <v>261</v>
      </c>
      <c r="F16" s="68" t="s">
        <v>261</v>
      </c>
      <c r="G16" s="14" t="s">
        <v>60</v>
      </c>
      <c r="H16" s="15"/>
      <c r="I16" s="15" t="s">
        <v>244</v>
      </c>
      <c r="J16" s="16"/>
    </row>
    <row r="17" spans="1:10" s="3" customFormat="1">
      <c r="A17" s="83"/>
      <c r="B17" s="83"/>
      <c r="C17" s="83"/>
      <c r="D17" s="83"/>
      <c r="E17" s="68" t="s">
        <v>262</v>
      </c>
      <c r="F17" s="68" t="s">
        <v>262</v>
      </c>
      <c r="G17" s="14" t="s">
        <v>60</v>
      </c>
      <c r="H17" s="15"/>
      <c r="I17" s="15" t="s">
        <v>244</v>
      </c>
      <c r="J17" s="16"/>
    </row>
    <row r="18" spans="1:10" s="3" customFormat="1" ht="50.45">
      <c r="A18" s="68" t="s">
        <v>263</v>
      </c>
      <c r="B18" s="68" t="s">
        <v>264</v>
      </c>
      <c r="C18" s="68" t="s">
        <v>265</v>
      </c>
      <c r="D18" s="68" t="s">
        <v>266</v>
      </c>
      <c r="E18" s="68" t="s">
        <v>267</v>
      </c>
      <c r="F18" s="68" t="s">
        <v>267</v>
      </c>
      <c r="G18" s="14"/>
      <c r="H18" s="15"/>
      <c r="I18" s="15" t="s">
        <v>244</v>
      </c>
      <c r="J18" s="16"/>
    </row>
    <row r="19" spans="1:10" s="3" customFormat="1">
      <c r="A19" s="83" t="s">
        <v>268</v>
      </c>
      <c r="B19" s="83" t="s">
        <v>269</v>
      </c>
      <c r="C19" s="83" t="s">
        <v>270</v>
      </c>
      <c r="D19" s="83" t="s">
        <v>271</v>
      </c>
      <c r="E19" s="68" t="s">
        <v>272</v>
      </c>
      <c r="F19" s="68" t="s">
        <v>272</v>
      </c>
      <c r="G19" s="14"/>
      <c r="H19" s="15"/>
      <c r="I19" s="15" t="s">
        <v>244</v>
      </c>
      <c r="J19" s="16"/>
    </row>
    <row r="20" spans="1:10" s="3" customFormat="1" ht="33.6">
      <c r="A20" s="83"/>
      <c r="B20" s="83"/>
      <c r="C20" s="83"/>
      <c r="D20" s="83"/>
      <c r="E20" s="68" t="s">
        <v>273</v>
      </c>
      <c r="F20" s="68" t="s">
        <v>273</v>
      </c>
      <c r="G20" s="14"/>
      <c r="H20" s="15"/>
      <c r="I20" s="15" t="s">
        <v>244</v>
      </c>
      <c r="J20" s="16"/>
    </row>
    <row r="21" spans="1:10" s="3" customFormat="1" ht="33.6">
      <c r="A21" s="83"/>
      <c r="B21" s="83"/>
      <c r="C21" s="83"/>
      <c r="D21" s="83"/>
      <c r="E21" s="68" t="s">
        <v>274</v>
      </c>
      <c r="F21" s="68" t="s">
        <v>274</v>
      </c>
      <c r="G21" s="14" t="s">
        <v>60</v>
      </c>
      <c r="H21" s="15"/>
      <c r="I21" s="15" t="s">
        <v>244</v>
      </c>
      <c r="J21" s="16"/>
    </row>
    <row r="22" spans="1:10" s="3" customFormat="1" ht="33.6">
      <c r="A22" s="83"/>
      <c r="B22" s="83"/>
      <c r="C22" s="83"/>
      <c r="D22" s="83"/>
      <c r="E22" s="68" t="s">
        <v>275</v>
      </c>
      <c r="F22" s="68" t="s">
        <v>275</v>
      </c>
      <c r="G22" s="14" t="s">
        <v>60</v>
      </c>
      <c r="H22" s="15"/>
      <c r="I22" s="15" t="s">
        <v>244</v>
      </c>
      <c r="J22" s="16"/>
    </row>
    <row r="23" spans="1:10" s="3" customFormat="1" ht="33.6">
      <c r="A23" s="68" t="s">
        <v>276</v>
      </c>
      <c r="B23" s="68" t="s">
        <v>277</v>
      </c>
      <c r="C23" s="68" t="s">
        <v>278</v>
      </c>
      <c r="D23" s="68"/>
      <c r="E23" s="68" t="s">
        <v>279</v>
      </c>
      <c r="F23" s="68" t="s">
        <v>279</v>
      </c>
      <c r="G23" s="14" t="s">
        <v>60</v>
      </c>
      <c r="H23" s="15"/>
      <c r="I23" s="15" t="s">
        <v>244</v>
      </c>
      <c r="J23" s="16"/>
    </row>
    <row r="24" spans="1:10" s="3" customFormat="1">
      <c r="A24" s="84" t="s">
        <v>280</v>
      </c>
      <c r="B24" s="84"/>
      <c r="C24" s="84"/>
      <c r="D24" s="84"/>
      <c r="E24" s="84"/>
      <c r="F24" s="86"/>
      <c r="G24" s="86"/>
      <c r="H24" s="113"/>
      <c r="I24" s="113"/>
      <c r="J24" s="113"/>
    </row>
    <row r="25" spans="1:10" s="3" customFormat="1" ht="50.45">
      <c r="A25" s="13" t="s">
        <v>281</v>
      </c>
      <c r="B25" s="68"/>
      <c r="C25" s="68"/>
      <c r="D25" s="68"/>
      <c r="E25" s="68"/>
      <c r="F25" s="68"/>
      <c r="G25" s="12" t="s">
        <v>60</v>
      </c>
      <c r="H25" s="15"/>
      <c r="I25" s="15" t="s">
        <v>244</v>
      </c>
      <c r="J25" s="16"/>
    </row>
    <row r="26" spans="1:10" s="3" customFormat="1" ht="67.150000000000006">
      <c r="A26" s="68" t="s">
        <v>282</v>
      </c>
      <c r="B26" s="68" t="s">
        <v>283</v>
      </c>
      <c r="C26" s="68" t="s">
        <v>284</v>
      </c>
      <c r="D26" s="68" t="s">
        <v>285</v>
      </c>
      <c r="E26" s="68" t="s">
        <v>286</v>
      </c>
      <c r="F26" s="68" t="s">
        <v>286</v>
      </c>
      <c r="G26" s="12" t="s">
        <v>60</v>
      </c>
      <c r="H26" s="15"/>
      <c r="I26" s="15" t="s">
        <v>244</v>
      </c>
      <c r="J26" s="16"/>
    </row>
    <row r="27" spans="1:10" s="3" customFormat="1" ht="50.45">
      <c r="A27" s="68" t="s">
        <v>287</v>
      </c>
      <c r="B27" s="68" t="s">
        <v>288</v>
      </c>
      <c r="C27" s="68" t="s">
        <v>289</v>
      </c>
      <c r="D27" s="68"/>
      <c r="E27" s="68" t="s">
        <v>290</v>
      </c>
      <c r="F27" s="68" t="s">
        <v>290</v>
      </c>
      <c r="G27" s="12" t="s">
        <v>60</v>
      </c>
      <c r="H27" s="15"/>
      <c r="I27" s="15" t="s">
        <v>244</v>
      </c>
      <c r="J27" s="16"/>
    </row>
    <row r="28" spans="1:10" s="3" customFormat="1" ht="50.45">
      <c r="A28" s="13" t="s">
        <v>291</v>
      </c>
      <c r="B28" s="68"/>
      <c r="C28" s="68"/>
      <c r="D28" s="68"/>
      <c r="E28" s="68"/>
      <c r="F28" s="68"/>
      <c r="G28" s="12" t="s">
        <v>60</v>
      </c>
      <c r="H28" s="15"/>
      <c r="I28" s="15" t="s">
        <v>244</v>
      </c>
      <c r="J28" s="16"/>
    </row>
    <row r="29" spans="1:10" s="3" customFormat="1" ht="67.150000000000006">
      <c r="A29" s="68" t="s">
        <v>292</v>
      </c>
      <c r="B29" s="68" t="s">
        <v>293</v>
      </c>
      <c r="C29" s="68" t="s">
        <v>294</v>
      </c>
      <c r="D29" s="68" t="s">
        <v>295</v>
      </c>
      <c r="E29" s="68" t="s">
        <v>296</v>
      </c>
      <c r="F29" s="68" t="s">
        <v>296</v>
      </c>
      <c r="G29" s="12" t="s">
        <v>60</v>
      </c>
      <c r="H29" s="15"/>
      <c r="I29" s="15" t="s">
        <v>244</v>
      </c>
      <c r="J29" s="16"/>
    </row>
    <row r="30" spans="1:10" s="3" customFormat="1" ht="67.150000000000006">
      <c r="A30" s="68" t="s">
        <v>297</v>
      </c>
      <c r="B30" s="68" t="s">
        <v>298</v>
      </c>
      <c r="C30" s="68" t="s">
        <v>299</v>
      </c>
      <c r="D30" s="68" t="s">
        <v>300</v>
      </c>
      <c r="E30" s="68" t="s">
        <v>301</v>
      </c>
      <c r="F30" s="68" t="s">
        <v>301</v>
      </c>
      <c r="G30" s="12" t="s">
        <v>60</v>
      </c>
      <c r="H30" s="15"/>
      <c r="I30" s="15" t="s">
        <v>244</v>
      </c>
      <c r="J30" s="16"/>
    </row>
    <row r="31" spans="1:10" s="3" customFormat="1" ht="33.6">
      <c r="A31" s="68" t="s">
        <v>302</v>
      </c>
      <c r="B31" s="68" t="s">
        <v>303</v>
      </c>
      <c r="C31" s="68" t="s">
        <v>304</v>
      </c>
      <c r="D31" s="68" t="s">
        <v>305</v>
      </c>
      <c r="E31" s="68" t="s">
        <v>306</v>
      </c>
      <c r="F31" s="68" t="s">
        <v>306</v>
      </c>
      <c r="G31" s="12" t="s">
        <v>60</v>
      </c>
      <c r="H31" s="15"/>
      <c r="I31" s="15" t="s">
        <v>244</v>
      </c>
      <c r="J31" s="16"/>
    </row>
    <row r="32" spans="1:10" s="3" customFormat="1" ht="50.45">
      <c r="A32" s="68" t="s">
        <v>307</v>
      </c>
      <c r="B32" s="68" t="s">
        <v>308</v>
      </c>
      <c r="C32" s="68" t="s">
        <v>309</v>
      </c>
      <c r="D32" s="68"/>
      <c r="E32" s="68" t="s">
        <v>310</v>
      </c>
      <c r="F32" s="68" t="s">
        <v>310</v>
      </c>
      <c r="G32" s="12" t="s">
        <v>60</v>
      </c>
      <c r="H32" s="15"/>
      <c r="I32" s="15" t="s">
        <v>244</v>
      </c>
      <c r="J32" s="16"/>
    </row>
    <row r="33" spans="1:10" s="3" customFormat="1" ht="67.150000000000006">
      <c r="A33" s="68" t="s">
        <v>311</v>
      </c>
      <c r="B33" s="68" t="s">
        <v>312</v>
      </c>
      <c r="C33" s="68" t="s">
        <v>313</v>
      </c>
      <c r="D33" s="68"/>
      <c r="E33" s="68" t="s">
        <v>314</v>
      </c>
      <c r="F33" s="68" t="s">
        <v>314</v>
      </c>
      <c r="G33" s="12" t="s">
        <v>60</v>
      </c>
      <c r="H33" s="15"/>
      <c r="I33" s="15" t="s">
        <v>244</v>
      </c>
      <c r="J33" s="16"/>
    </row>
    <row r="34" spans="1:10" ht="67.150000000000006">
      <c r="A34" s="13" t="s">
        <v>315</v>
      </c>
      <c r="B34" s="68"/>
      <c r="C34" s="68"/>
      <c r="D34" s="68"/>
      <c r="E34" s="68"/>
      <c r="F34" s="68"/>
      <c r="G34" s="12" t="s">
        <v>60</v>
      </c>
      <c r="H34" s="15"/>
      <c r="I34" s="15" t="s">
        <v>244</v>
      </c>
      <c r="J34" s="16"/>
    </row>
    <row r="35" spans="1:10" ht="67.150000000000006">
      <c r="A35" s="68" t="s">
        <v>316</v>
      </c>
      <c r="B35" s="68" t="s">
        <v>317</v>
      </c>
      <c r="C35" s="68" t="s">
        <v>318</v>
      </c>
      <c r="D35" s="68" t="s">
        <v>319</v>
      </c>
      <c r="E35" s="68" t="s">
        <v>320</v>
      </c>
      <c r="F35" s="68" t="s">
        <v>320</v>
      </c>
      <c r="G35" s="12" t="s">
        <v>60</v>
      </c>
      <c r="H35" s="15"/>
      <c r="I35" s="15" t="s">
        <v>244</v>
      </c>
      <c r="J35" s="16"/>
    </row>
    <row r="36" spans="1:10" ht="50.45">
      <c r="A36" s="68" t="s">
        <v>321</v>
      </c>
      <c r="B36" s="68" t="s">
        <v>322</v>
      </c>
      <c r="C36" s="68" t="s">
        <v>323</v>
      </c>
      <c r="D36" s="68"/>
      <c r="E36" s="68" t="s">
        <v>324</v>
      </c>
      <c r="F36" s="68" t="s">
        <v>324</v>
      </c>
      <c r="G36" s="12" t="s">
        <v>60</v>
      </c>
      <c r="H36" s="15"/>
      <c r="I36" s="15" t="s">
        <v>244</v>
      </c>
      <c r="J36" s="16"/>
    </row>
    <row r="37" spans="1:10" ht="33.6">
      <c r="A37" s="83" t="s">
        <v>325</v>
      </c>
      <c r="B37" s="83" t="s">
        <v>326</v>
      </c>
      <c r="C37" s="83" t="s">
        <v>327</v>
      </c>
      <c r="D37" s="83"/>
      <c r="E37" s="68" t="s">
        <v>328</v>
      </c>
      <c r="F37" s="68" t="s">
        <v>328</v>
      </c>
      <c r="G37" s="12" t="s">
        <v>60</v>
      </c>
      <c r="H37" s="15"/>
      <c r="I37" s="15" t="s">
        <v>244</v>
      </c>
      <c r="J37" s="16"/>
    </row>
    <row r="38" spans="1:10" ht="50.45">
      <c r="A38" s="83"/>
      <c r="B38" s="83"/>
      <c r="C38" s="83"/>
      <c r="D38" s="83"/>
      <c r="E38" s="68" t="s">
        <v>329</v>
      </c>
      <c r="F38" s="68" t="s">
        <v>329</v>
      </c>
      <c r="G38" s="12" t="s">
        <v>60</v>
      </c>
      <c r="H38" s="15"/>
      <c r="I38" s="15" t="s">
        <v>244</v>
      </c>
      <c r="J38" s="16"/>
    </row>
    <row r="39" spans="1:10" ht="33.6">
      <c r="A39" s="13" t="s">
        <v>330</v>
      </c>
      <c r="B39" s="68"/>
      <c r="C39" s="68"/>
      <c r="D39" s="68"/>
      <c r="E39" s="68"/>
      <c r="F39" s="68"/>
      <c r="G39" s="12" t="s">
        <v>60</v>
      </c>
      <c r="H39" s="15"/>
      <c r="I39" s="15" t="s">
        <v>244</v>
      </c>
      <c r="J39" s="16"/>
    </row>
    <row r="40" spans="1:10" ht="33.6">
      <c r="A40" s="68" t="s">
        <v>331</v>
      </c>
      <c r="B40" s="68" t="s">
        <v>332</v>
      </c>
      <c r="C40" s="68" t="s">
        <v>333</v>
      </c>
      <c r="D40" s="68"/>
      <c r="E40" s="68" t="s">
        <v>334</v>
      </c>
      <c r="F40" s="68" t="s">
        <v>334</v>
      </c>
      <c r="G40" s="18" t="s">
        <v>146</v>
      </c>
      <c r="H40" s="15"/>
      <c r="I40" s="15" t="s">
        <v>244</v>
      </c>
      <c r="J40" s="16"/>
    </row>
    <row r="41" spans="1:10" ht="84">
      <c r="A41" s="83" t="s">
        <v>335</v>
      </c>
      <c r="B41" s="83" t="s">
        <v>336</v>
      </c>
      <c r="C41" s="83" t="s">
        <v>337</v>
      </c>
      <c r="D41" s="83" t="s">
        <v>338</v>
      </c>
      <c r="E41" s="68" t="s">
        <v>339</v>
      </c>
      <c r="F41" s="68" t="s">
        <v>339</v>
      </c>
      <c r="G41" s="12" t="s">
        <v>60</v>
      </c>
      <c r="H41" s="15"/>
      <c r="I41" s="15" t="s">
        <v>244</v>
      </c>
      <c r="J41" s="16"/>
    </row>
    <row r="42" spans="1:10" ht="84" customHeight="1">
      <c r="A42" s="83"/>
      <c r="B42" s="83"/>
      <c r="C42" s="83"/>
      <c r="D42" s="83"/>
      <c r="E42" s="68" t="s">
        <v>340</v>
      </c>
      <c r="F42" s="68" t="s">
        <v>340</v>
      </c>
      <c r="G42" s="12" t="s">
        <v>60</v>
      </c>
      <c r="H42" s="15"/>
      <c r="I42" s="15" t="s">
        <v>244</v>
      </c>
      <c r="J42" s="16"/>
    </row>
  </sheetData>
  <mergeCells count="29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4:J24"/>
    <mergeCell ref="A16:A17"/>
    <mergeCell ref="B16:B17"/>
    <mergeCell ref="C16:C17"/>
    <mergeCell ref="D16:D17"/>
    <mergeCell ref="A41:A42"/>
    <mergeCell ref="B41:B42"/>
    <mergeCell ref="C41:C42"/>
    <mergeCell ref="D41:D42"/>
    <mergeCell ref="D19:D22"/>
    <mergeCell ref="A37:A38"/>
    <mergeCell ref="B37:B38"/>
    <mergeCell ref="C37:C38"/>
    <mergeCell ref="D37:D38"/>
    <mergeCell ref="A19:A22"/>
    <mergeCell ref="B19:B22"/>
    <mergeCell ref="C19:C22"/>
  </mergeCells>
  <conditionalFormatting sqref="G12:G23 G25:G42">
    <cfRule type="containsText" dxfId="19" priority="1" operator="containsText" text="Hoàn thành">
      <formula>NOT(ISERROR(SEARCH("Hoàn thành",G12)))</formula>
    </cfRule>
    <cfRule type="containsText" dxfId="18" priority="2" operator="containsText" text="Lỗi">
      <formula>NOT(ISERROR(SEARCH("Lỗi",G12)))</formula>
    </cfRule>
    <cfRule type="containsText" dxfId="17" priority="3" operator="containsText" text="Hoàn thành">
      <formula>NOT(ISERROR(SEARCH("Hoàn thành",G12)))</formula>
    </cfRule>
    <cfRule type="containsText" dxfId="16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3 G25:G42" xr:uid="{79C34029-B82D-477D-A9CE-E113BA258502}">
      <formula1>"Pass, Fail, Chưa kiểm tra, Bị chặn"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90F-ABAE-4CFA-B0BD-9AF5022A1405}">
  <sheetPr>
    <tabColor theme="7"/>
  </sheetPr>
  <dimension ref="A1:J48"/>
  <sheetViews>
    <sheetView topLeftCell="A19" zoomScale="60" workbookViewId="0">
      <selection activeCell="I30" sqref="I30:I48"/>
    </sheetView>
  </sheetViews>
  <sheetFormatPr defaultColWidth="9.140625" defaultRowHeight="16.899999999999999"/>
  <cols>
    <col min="1" max="1" width="21.28515625" style="11" bestFit="1" customWidth="1"/>
    <col min="2" max="2" width="47.28515625" style="11" customWidth="1"/>
    <col min="3" max="3" width="34.285156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703125" style="11" bestFit="1" customWidth="1"/>
    <col min="9" max="9" width="22.7109375" style="11" bestFit="1" customWidth="1"/>
    <col min="10" max="10" width="16" style="11" bestFit="1" customWidth="1"/>
    <col min="11" max="16384" width="9.140625" style="11"/>
  </cols>
  <sheetData>
    <row r="1" spans="1:10" s="3" customFormat="1" ht="16.899999999999999" customHeight="1">
      <c r="A1" s="101" t="s">
        <v>36</v>
      </c>
      <c r="B1" s="102" t="s">
        <v>37</v>
      </c>
      <c r="C1" s="102"/>
      <c r="D1" s="102"/>
      <c r="E1" s="102"/>
      <c r="F1" s="102"/>
      <c r="G1" s="1"/>
      <c r="H1" s="2"/>
    </row>
    <row r="2" spans="1:10" s="3" customFormat="1">
      <c r="A2" s="101" t="s">
        <v>38</v>
      </c>
      <c r="B2" s="103" t="s">
        <v>24</v>
      </c>
      <c r="C2" s="103"/>
      <c r="D2" s="103"/>
      <c r="E2" s="103"/>
      <c r="F2" s="103"/>
      <c r="G2" s="1"/>
      <c r="H2" s="2"/>
    </row>
    <row r="3" spans="1:10" s="3" customFormat="1">
      <c r="A3" s="104"/>
      <c r="B3" s="105" t="s">
        <v>10</v>
      </c>
      <c r="C3" s="105" t="s">
        <v>11</v>
      </c>
      <c r="D3" s="105" t="s">
        <v>39</v>
      </c>
      <c r="E3" s="105" t="s">
        <v>40</v>
      </c>
      <c r="F3" s="105" t="s">
        <v>41</v>
      </c>
      <c r="G3" s="1"/>
      <c r="H3" s="2"/>
    </row>
    <row r="4" spans="1:10" s="3" customFormat="1">
      <c r="A4" s="106" t="s">
        <v>42</v>
      </c>
      <c r="B4" s="107">
        <v>31</v>
      </c>
      <c r="C4" s="107">
        <v>0</v>
      </c>
      <c r="D4" s="104">
        <v>0</v>
      </c>
      <c r="E4" s="108">
        <v>0</v>
      </c>
      <c r="F4" s="104">
        <f>SUM(B4:E4)</f>
        <v>31</v>
      </c>
      <c r="G4" s="1"/>
      <c r="H4" s="2"/>
    </row>
    <row r="5" spans="1:10" s="3" customFormat="1">
      <c r="A5" s="106" t="s">
        <v>43</v>
      </c>
      <c r="B5" s="107">
        <v>31</v>
      </c>
      <c r="C5" s="107">
        <v>0</v>
      </c>
      <c r="D5" s="104">
        <v>0</v>
      </c>
      <c r="E5" s="108">
        <v>0</v>
      </c>
      <c r="F5" s="104">
        <f>SUM(B5:E5)</f>
        <v>31</v>
      </c>
      <c r="G5" s="1"/>
      <c r="H5" s="2"/>
    </row>
    <row r="6" spans="1:10" s="3" customFormat="1">
      <c r="A6" s="4"/>
      <c r="B6" s="5"/>
      <c r="E6" s="6"/>
      <c r="G6" s="1"/>
      <c r="H6" s="2"/>
    </row>
    <row r="7" spans="1:10" s="3" customFormat="1" ht="14.45" customHeight="1">
      <c r="A7" s="4"/>
      <c r="B7" s="5"/>
      <c r="E7" s="6"/>
      <c r="G7" s="1"/>
      <c r="H7" s="2"/>
    </row>
    <row r="8" spans="1:10" s="3" customFormat="1">
      <c r="A8" s="109" t="s">
        <v>44</v>
      </c>
      <c r="B8" s="109" t="s">
        <v>45</v>
      </c>
      <c r="C8" s="109" t="s">
        <v>46</v>
      </c>
      <c r="D8" s="109" t="s">
        <v>47</v>
      </c>
      <c r="E8" s="109" t="s">
        <v>48</v>
      </c>
      <c r="F8" s="109" t="s">
        <v>49</v>
      </c>
      <c r="G8" s="109" t="s">
        <v>50</v>
      </c>
      <c r="H8" s="109"/>
      <c r="I8" s="109"/>
      <c r="J8" s="109" t="s">
        <v>51</v>
      </c>
    </row>
    <row r="9" spans="1:10" s="3" customFormat="1">
      <c r="A9" s="109"/>
      <c r="B9" s="109"/>
      <c r="C9" s="109"/>
      <c r="D9" s="109"/>
      <c r="E9" s="109"/>
      <c r="F9" s="109"/>
      <c r="G9" s="109" t="s">
        <v>19</v>
      </c>
      <c r="H9" s="109"/>
      <c r="I9" s="109"/>
      <c r="J9" s="109"/>
    </row>
    <row r="10" spans="1:10" s="3" customFormat="1">
      <c r="A10" s="109"/>
      <c r="B10" s="109"/>
      <c r="C10" s="109"/>
      <c r="D10" s="109"/>
      <c r="E10" s="109"/>
      <c r="F10" s="109"/>
      <c r="G10" s="110" t="s">
        <v>52</v>
      </c>
      <c r="H10" s="111" t="s">
        <v>53</v>
      </c>
      <c r="I10" s="105" t="s">
        <v>54</v>
      </c>
      <c r="J10" s="109"/>
    </row>
    <row r="11" spans="1:10" s="3" customFormat="1">
      <c r="A11" s="85" t="s">
        <v>341</v>
      </c>
      <c r="B11" s="85"/>
      <c r="C11" s="85"/>
      <c r="D11" s="85"/>
      <c r="E11" s="85"/>
      <c r="F11" s="85"/>
      <c r="G11" s="85"/>
      <c r="H11" s="112"/>
      <c r="I11" s="112"/>
      <c r="J11" s="112"/>
    </row>
    <row r="12" spans="1:10" s="3" customFormat="1" ht="50.45">
      <c r="A12" s="68" t="s">
        <v>342</v>
      </c>
      <c r="B12" s="68" t="s">
        <v>343</v>
      </c>
      <c r="C12" s="68" t="s">
        <v>344</v>
      </c>
      <c r="D12" s="68"/>
      <c r="E12" s="68" t="s">
        <v>345</v>
      </c>
      <c r="F12" s="68" t="s">
        <v>345</v>
      </c>
      <c r="G12" s="14" t="s">
        <v>60</v>
      </c>
      <c r="H12" s="15"/>
      <c r="I12" s="15" t="s">
        <v>346</v>
      </c>
      <c r="J12" s="16"/>
    </row>
    <row r="13" spans="1:10" s="3" customFormat="1" ht="67.150000000000006">
      <c r="A13" s="68" t="s">
        <v>347</v>
      </c>
      <c r="B13" s="68" t="s">
        <v>348</v>
      </c>
      <c r="C13" s="68" t="s">
        <v>349</v>
      </c>
      <c r="D13" s="68" t="s">
        <v>350</v>
      </c>
      <c r="E13" s="68" t="s">
        <v>351</v>
      </c>
      <c r="F13" s="68" t="s">
        <v>351</v>
      </c>
      <c r="G13" s="14" t="s">
        <v>60</v>
      </c>
      <c r="H13" s="15"/>
      <c r="I13" s="15" t="s">
        <v>346</v>
      </c>
      <c r="J13" s="16"/>
    </row>
    <row r="14" spans="1:10" s="3" customFormat="1" ht="50.45">
      <c r="A14" s="68" t="s">
        <v>352</v>
      </c>
      <c r="B14" s="68" t="s">
        <v>353</v>
      </c>
      <c r="C14" s="68" t="s">
        <v>354</v>
      </c>
      <c r="D14" s="68"/>
      <c r="E14" s="68" t="s">
        <v>355</v>
      </c>
      <c r="F14" s="68" t="s">
        <v>355</v>
      </c>
      <c r="G14" s="14" t="s">
        <v>60</v>
      </c>
      <c r="H14" s="15"/>
      <c r="I14" s="15" t="s">
        <v>346</v>
      </c>
      <c r="J14" s="16"/>
    </row>
    <row r="15" spans="1:10" s="3" customFormat="1" ht="67.150000000000006">
      <c r="A15" s="68" t="s">
        <v>356</v>
      </c>
      <c r="B15" s="68" t="s">
        <v>357</v>
      </c>
      <c r="C15" s="68" t="s">
        <v>358</v>
      </c>
      <c r="D15" s="68"/>
      <c r="E15" s="68" t="s">
        <v>359</v>
      </c>
      <c r="F15" s="68" t="s">
        <v>359</v>
      </c>
      <c r="G15" s="14" t="s">
        <v>60</v>
      </c>
      <c r="H15" s="15"/>
      <c r="I15" s="15" t="s">
        <v>346</v>
      </c>
      <c r="J15" s="16"/>
    </row>
    <row r="16" spans="1:10" s="3" customFormat="1" ht="33.6">
      <c r="A16" s="83" t="s">
        <v>360</v>
      </c>
      <c r="B16" s="83" t="s">
        <v>361</v>
      </c>
      <c r="C16" s="83" t="s">
        <v>362</v>
      </c>
      <c r="D16" s="83"/>
      <c r="E16" s="68" t="s">
        <v>363</v>
      </c>
      <c r="F16" s="68" t="s">
        <v>363</v>
      </c>
      <c r="G16" s="14"/>
      <c r="H16" s="15"/>
      <c r="I16" s="15" t="s">
        <v>346</v>
      </c>
      <c r="J16" s="16"/>
    </row>
    <row r="17" spans="1:10" s="3" customFormat="1">
      <c r="A17" s="83"/>
      <c r="B17" s="83"/>
      <c r="C17" s="83"/>
      <c r="D17" s="83"/>
      <c r="E17" s="68" t="s">
        <v>364</v>
      </c>
      <c r="F17" s="68" t="s">
        <v>364</v>
      </c>
      <c r="G17" s="14"/>
      <c r="H17" s="15"/>
      <c r="I17" s="15" t="s">
        <v>346</v>
      </c>
      <c r="J17" s="16"/>
    </row>
    <row r="18" spans="1:10" s="3" customFormat="1">
      <c r="A18" s="83"/>
      <c r="B18" s="83"/>
      <c r="C18" s="83"/>
      <c r="D18" s="83"/>
      <c r="E18" s="68" t="s">
        <v>365</v>
      </c>
      <c r="F18" s="68" t="s">
        <v>365</v>
      </c>
      <c r="G18" s="14"/>
      <c r="H18" s="15"/>
      <c r="I18" s="15" t="s">
        <v>346</v>
      </c>
      <c r="J18" s="16"/>
    </row>
    <row r="19" spans="1:10" s="3" customFormat="1">
      <c r="A19" s="83"/>
      <c r="B19" s="83"/>
      <c r="C19" s="83"/>
      <c r="D19" s="83"/>
      <c r="E19" s="68" t="s">
        <v>366</v>
      </c>
      <c r="F19" s="68" t="s">
        <v>366</v>
      </c>
      <c r="G19" s="14"/>
      <c r="H19" s="15"/>
      <c r="I19" s="15" t="s">
        <v>346</v>
      </c>
      <c r="J19" s="16"/>
    </row>
    <row r="20" spans="1:10" s="3" customFormat="1">
      <c r="A20" s="83"/>
      <c r="B20" s="83"/>
      <c r="C20" s="83"/>
      <c r="D20" s="83"/>
      <c r="E20" s="68" t="s">
        <v>367</v>
      </c>
      <c r="F20" s="68" t="s">
        <v>367</v>
      </c>
      <c r="G20" s="14"/>
      <c r="H20" s="15"/>
      <c r="I20" s="15" t="s">
        <v>346</v>
      </c>
      <c r="J20" s="16"/>
    </row>
    <row r="21" spans="1:10" s="3" customFormat="1">
      <c r="A21" s="83"/>
      <c r="B21" s="83"/>
      <c r="C21" s="83"/>
      <c r="D21" s="83"/>
      <c r="E21" s="68" t="s">
        <v>368</v>
      </c>
      <c r="F21" s="68" t="s">
        <v>368</v>
      </c>
      <c r="G21" s="14"/>
      <c r="H21" s="15"/>
      <c r="I21" s="15" t="s">
        <v>346</v>
      </c>
      <c r="J21" s="16"/>
    </row>
    <row r="22" spans="1:10" s="3" customFormat="1" ht="33.6">
      <c r="A22" s="68" t="s">
        <v>369</v>
      </c>
      <c r="B22" s="68" t="s">
        <v>370</v>
      </c>
      <c r="C22" s="68" t="s">
        <v>371</v>
      </c>
      <c r="D22" s="68"/>
      <c r="E22" s="68" t="s">
        <v>372</v>
      </c>
      <c r="F22" s="68" t="s">
        <v>372</v>
      </c>
      <c r="G22" s="14"/>
      <c r="H22" s="15"/>
      <c r="I22" s="15" t="s">
        <v>346</v>
      </c>
      <c r="J22" s="16"/>
    </row>
    <row r="23" spans="1:10" s="3" customFormat="1" ht="67.150000000000006">
      <c r="A23" s="68" t="s">
        <v>373</v>
      </c>
      <c r="B23" s="68" t="s">
        <v>374</v>
      </c>
      <c r="C23" s="68" t="s">
        <v>375</v>
      </c>
      <c r="D23" s="68"/>
      <c r="E23" s="68" t="s">
        <v>376</v>
      </c>
      <c r="F23" s="68" t="s">
        <v>376</v>
      </c>
      <c r="G23" s="14"/>
      <c r="H23" s="15"/>
      <c r="I23" s="15" t="s">
        <v>346</v>
      </c>
      <c r="J23" s="16"/>
    </row>
    <row r="24" spans="1:10" s="3" customFormat="1" ht="50.45">
      <c r="A24" s="68" t="s">
        <v>377</v>
      </c>
      <c r="B24" s="68" t="s">
        <v>378</v>
      </c>
      <c r="C24" s="68" t="s">
        <v>379</v>
      </c>
      <c r="D24" s="68"/>
      <c r="E24" s="68" t="s">
        <v>380</v>
      </c>
      <c r="F24" s="68" t="s">
        <v>380</v>
      </c>
      <c r="G24" s="14"/>
      <c r="H24" s="15"/>
      <c r="I24" s="15" t="s">
        <v>346</v>
      </c>
      <c r="J24" s="16"/>
    </row>
    <row r="25" spans="1:10" s="3" customFormat="1" ht="33.6">
      <c r="A25" s="68" t="s">
        <v>381</v>
      </c>
      <c r="B25" s="68" t="s">
        <v>382</v>
      </c>
      <c r="C25" s="68" t="s">
        <v>383</v>
      </c>
      <c r="D25" s="68" t="s">
        <v>384</v>
      </c>
      <c r="E25" s="68" t="s">
        <v>385</v>
      </c>
      <c r="F25" s="68" t="s">
        <v>385</v>
      </c>
      <c r="G25" s="14" t="s">
        <v>60</v>
      </c>
      <c r="H25" s="15"/>
      <c r="I25" s="15" t="s">
        <v>346</v>
      </c>
      <c r="J25" s="16"/>
    </row>
    <row r="26" spans="1:10" s="3" customFormat="1" ht="100.9">
      <c r="A26" s="68" t="s">
        <v>386</v>
      </c>
      <c r="B26" s="68" t="s">
        <v>387</v>
      </c>
      <c r="C26" s="68" t="s">
        <v>388</v>
      </c>
      <c r="D26" s="68" t="s">
        <v>389</v>
      </c>
      <c r="E26" s="68" t="s">
        <v>390</v>
      </c>
      <c r="F26" s="68" t="s">
        <v>390</v>
      </c>
      <c r="G26" s="14" t="s">
        <v>60</v>
      </c>
      <c r="H26" s="15"/>
      <c r="I26" s="15" t="s">
        <v>346</v>
      </c>
      <c r="J26" s="16"/>
    </row>
    <row r="27" spans="1:10" s="3" customFormat="1" ht="33.6">
      <c r="A27" s="68" t="s">
        <v>391</v>
      </c>
      <c r="B27" s="68" t="s">
        <v>392</v>
      </c>
      <c r="C27" s="68" t="s">
        <v>393</v>
      </c>
      <c r="D27" s="68" t="s">
        <v>394</v>
      </c>
      <c r="E27" s="68" t="s">
        <v>395</v>
      </c>
      <c r="F27" s="68" t="s">
        <v>395</v>
      </c>
      <c r="G27" s="14" t="s">
        <v>60</v>
      </c>
      <c r="H27" s="15"/>
      <c r="I27" s="15" t="s">
        <v>346</v>
      </c>
      <c r="J27" s="16"/>
    </row>
    <row r="28" spans="1:10" s="3" customFormat="1" ht="33.6">
      <c r="A28" s="68" t="s">
        <v>396</v>
      </c>
      <c r="B28" s="68" t="s">
        <v>397</v>
      </c>
      <c r="C28" s="68" t="s">
        <v>398</v>
      </c>
      <c r="D28" s="68"/>
      <c r="E28" s="68" t="s">
        <v>399</v>
      </c>
      <c r="F28" s="68" t="s">
        <v>399</v>
      </c>
      <c r="G28" s="14" t="s">
        <v>60</v>
      </c>
      <c r="H28" s="15"/>
      <c r="I28" s="15" t="s">
        <v>346</v>
      </c>
      <c r="J28" s="16"/>
    </row>
    <row r="29" spans="1:10" s="3" customFormat="1">
      <c r="A29" s="84" t="s">
        <v>400</v>
      </c>
      <c r="B29" s="84"/>
      <c r="C29" s="84"/>
      <c r="D29" s="84"/>
      <c r="E29" s="84"/>
      <c r="F29" s="86"/>
      <c r="G29" s="86"/>
      <c r="H29" s="113"/>
      <c r="I29" s="113"/>
      <c r="J29" s="113"/>
    </row>
    <row r="30" spans="1:10" s="3" customFormat="1" ht="33.6">
      <c r="A30" s="68" t="s">
        <v>401</v>
      </c>
      <c r="B30" s="68" t="s">
        <v>402</v>
      </c>
      <c r="C30" s="68" t="s">
        <v>403</v>
      </c>
      <c r="D30" s="68"/>
      <c r="E30" s="68" t="s">
        <v>404</v>
      </c>
      <c r="F30" s="68" t="s">
        <v>404</v>
      </c>
      <c r="G30" s="14" t="s">
        <v>60</v>
      </c>
      <c r="H30" s="15"/>
      <c r="I30" s="15" t="s">
        <v>346</v>
      </c>
      <c r="J30" s="16"/>
    </row>
    <row r="31" spans="1:10" s="3" customFormat="1" ht="33.6">
      <c r="A31" s="68" t="s">
        <v>405</v>
      </c>
      <c r="B31" s="68" t="s">
        <v>406</v>
      </c>
      <c r="C31" s="68" t="s">
        <v>407</v>
      </c>
      <c r="D31" s="68" t="s">
        <v>408</v>
      </c>
      <c r="E31" s="68" t="s">
        <v>409</v>
      </c>
      <c r="F31" s="68" t="s">
        <v>409</v>
      </c>
      <c r="G31" s="14" t="s">
        <v>60</v>
      </c>
      <c r="H31" s="15"/>
      <c r="I31" s="15" t="s">
        <v>346</v>
      </c>
      <c r="J31" s="16"/>
    </row>
    <row r="32" spans="1:10" s="3" customFormat="1" ht="50.45">
      <c r="A32" s="68" t="s">
        <v>410</v>
      </c>
      <c r="B32" s="68" t="s">
        <v>411</v>
      </c>
      <c r="C32" s="68" t="s">
        <v>412</v>
      </c>
      <c r="D32" s="68" t="s">
        <v>413</v>
      </c>
      <c r="E32" s="68" t="s">
        <v>414</v>
      </c>
      <c r="F32" s="68" t="s">
        <v>414</v>
      </c>
      <c r="G32" s="14" t="s">
        <v>60</v>
      </c>
      <c r="H32" s="15"/>
      <c r="I32" s="15" t="s">
        <v>346</v>
      </c>
      <c r="J32" s="16"/>
    </row>
    <row r="33" spans="1:10" s="3" customFormat="1" ht="33.6">
      <c r="A33" s="68" t="s">
        <v>415</v>
      </c>
      <c r="B33" s="68" t="s">
        <v>416</v>
      </c>
      <c r="C33" s="68" t="s">
        <v>417</v>
      </c>
      <c r="D33" s="68" t="s">
        <v>418</v>
      </c>
      <c r="E33" s="68" t="s">
        <v>419</v>
      </c>
      <c r="F33" s="68" t="s">
        <v>419</v>
      </c>
      <c r="G33" s="14" t="s">
        <v>60</v>
      </c>
      <c r="H33" s="15"/>
      <c r="I33" s="15" t="s">
        <v>346</v>
      </c>
      <c r="J33" s="16"/>
    </row>
    <row r="34" spans="1:10" s="3" customFormat="1" ht="33.6">
      <c r="A34" s="68" t="s">
        <v>420</v>
      </c>
      <c r="B34" s="68" t="s">
        <v>421</v>
      </c>
      <c r="C34" s="68" t="s">
        <v>422</v>
      </c>
      <c r="D34" s="68"/>
      <c r="E34" s="68" t="s">
        <v>423</v>
      </c>
      <c r="F34" s="68" t="s">
        <v>423</v>
      </c>
      <c r="G34" s="14" t="s">
        <v>60</v>
      </c>
      <c r="H34" s="15"/>
      <c r="I34" s="15" t="s">
        <v>346</v>
      </c>
      <c r="J34" s="16"/>
    </row>
    <row r="35" spans="1:10" s="3" customFormat="1" ht="33.6">
      <c r="A35" s="68" t="s">
        <v>424</v>
      </c>
      <c r="B35" s="68" t="s">
        <v>425</v>
      </c>
      <c r="C35" s="68" t="s">
        <v>426</v>
      </c>
      <c r="D35" s="68" t="s">
        <v>427</v>
      </c>
      <c r="E35" s="68" t="s">
        <v>428</v>
      </c>
      <c r="F35" s="68" t="s">
        <v>428</v>
      </c>
      <c r="G35" s="14" t="s">
        <v>60</v>
      </c>
      <c r="H35" s="15"/>
      <c r="I35" s="15" t="s">
        <v>346</v>
      </c>
      <c r="J35" s="16"/>
    </row>
    <row r="36" spans="1:10" s="3" customFormat="1" ht="33.6">
      <c r="A36" s="68" t="s">
        <v>429</v>
      </c>
      <c r="B36" s="68" t="s">
        <v>430</v>
      </c>
      <c r="C36" s="68" t="s">
        <v>431</v>
      </c>
      <c r="D36" s="68"/>
      <c r="E36" s="68" t="s">
        <v>432</v>
      </c>
      <c r="F36" s="68" t="s">
        <v>432</v>
      </c>
      <c r="G36" s="14" t="s">
        <v>60</v>
      </c>
      <c r="H36" s="15"/>
      <c r="I36" s="15" t="s">
        <v>346</v>
      </c>
      <c r="J36" s="16"/>
    </row>
    <row r="37" spans="1:10" s="3" customFormat="1" ht="67.150000000000006">
      <c r="A37" s="68" t="s">
        <v>433</v>
      </c>
      <c r="B37" s="68" t="s">
        <v>434</v>
      </c>
      <c r="C37" s="68" t="s">
        <v>435</v>
      </c>
      <c r="D37" s="68"/>
      <c r="E37" s="68" t="s">
        <v>436</v>
      </c>
      <c r="F37" s="68" t="s">
        <v>436</v>
      </c>
      <c r="G37" s="14" t="s">
        <v>60</v>
      </c>
      <c r="H37" s="15"/>
      <c r="I37" s="15" t="s">
        <v>346</v>
      </c>
      <c r="J37" s="16"/>
    </row>
    <row r="38" spans="1:10" s="3" customFormat="1" ht="33.6">
      <c r="A38" s="68" t="s">
        <v>437</v>
      </c>
      <c r="B38" s="68" t="s">
        <v>438</v>
      </c>
      <c r="C38" s="68" t="s">
        <v>439</v>
      </c>
      <c r="D38" s="68" t="s">
        <v>440</v>
      </c>
      <c r="E38" s="68" t="s">
        <v>441</v>
      </c>
      <c r="F38" s="68" t="s">
        <v>441</v>
      </c>
      <c r="G38" s="14" t="s">
        <v>60</v>
      </c>
      <c r="H38" s="15"/>
      <c r="I38" s="15" t="s">
        <v>346</v>
      </c>
      <c r="J38" s="16"/>
    </row>
    <row r="39" spans="1:10" ht="33.6">
      <c r="A39" s="68" t="s">
        <v>442</v>
      </c>
      <c r="B39" s="68" t="s">
        <v>443</v>
      </c>
      <c r="C39" s="68" t="s">
        <v>444</v>
      </c>
      <c r="D39" s="68"/>
      <c r="E39" s="68" t="s">
        <v>445</v>
      </c>
      <c r="F39" s="68" t="s">
        <v>445</v>
      </c>
      <c r="G39" s="14" t="s">
        <v>60</v>
      </c>
      <c r="H39" s="15"/>
      <c r="I39" s="15" t="s">
        <v>346</v>
      </c>
      <c r="J39" s="16"/>
    </row>
    <row r="40" spans="1:10" ht="50.45">
      <c r="A40" s="68" t="s">
        <v>446</v>
      </c>
      <c r="B40" s="68" t="s">
        <v>447</v>
      </c>
      <c r="C40" s="68" t="s">
        <v>448</v>
      </c>
      <c r="D40" s="68" t="s">
        <v>449</v>
      </c>
      <c r="E40" s="68" t="s">
        <v>450</v>
      </c>
      <c r="F40" s="68" t="s">
        <v>450</v>
      </c>
      <c r="G40" s="14" t="s">
        <v>60</v>
      </c>
      <c r="H40" s="15"/>
      <c r="I40" s="15" t="s">
        <v>346</v>
      </c>
      <c r="J40" s="16"/>
    </row>
    <row r="41" spans="1:10" ht="33.6">
      <c r="A41" s="68" t="s">
        <v>451</v>
      </c>
      <c r="B41" s="68" t="s">
        <v>452</v>
      </c>
      <c r="C41" s="68" t="s">
        <v>453</v>
      </c>
      <c r="D41" s="68"/>
      <c r="E41" s="68" t="s">
        <v>454</v>
      </c>
      <c r="F41" s="68" t="s">
        <v>454</v>
      </c>
      <c r="G41" s="14" t="s">
        <v>60</v>
      </c>
      <c r="H41" s="15"/>
      <c r="I41" s="15" t="s">
        <v>346</v>
      </c>
      <c r="J41" s="16"/>
    </row>
    <row r="42" spans="1:10" ht="33.6">
      <c r="A42" s="68" t="s">
        <v>455</v>
      </c>
      <c r="B42" s="68" t="s">
        <v>456</v>
      </c>
      <c r="C42" s="68" t="s">
        <v>457</v>
      </c>
      <c r="D42" s="68"/>
      <c r="E42" s="68" t="s">
        <v>458</v>
      </c>
      <c r="F42" s="68" t="s">
        <v>458</v>
      </c>
      <c r="G42" s="14" t="s">
        <v>60</v>
      </c>
      <c r="H42" s="15"/>
      <c r="I42" s="15" t="s">
        <v>346</v>
      </c>
      <c r="J42" s="16"/>
    </row>
    <row r="43" spans="1:10" ht="33.6">
      <c r="A43" s="68" t="s">
        <v>459</v>
      </c>
      <c r="B43" s="68" t="s">
        <v>460</v>
      </c>
      <c r="C43" s="68" t="s">
        <v>461</v>
      </c>
      <c r="D43" s="68" t="s">
        <v>449</v>
      </c>
      <c r="E43" s="68" t="s">
        <v>462</v>
      </c>
      <c r="F43" s="68" t="s">
        <v>462</v>
      </c>
      <c r="G43" s="14" t="s">
        <v>60</v>
      </c>
      <c r="H43" s="15"/>
      <c r="I43" s="15" t="s">
        <v>346</v>
      </c>
      <c r="J43" s="16"/>
    </row>
    <row r="44" spans="1:10" ht="33.6">
      <c r="A44" s="68" t="s">
        <v>463</v>
      </c>
      <c r="B44" s="68" t="s">
        <v>464</v>
      </c>
      <c r="C44" s="68" t="s">
        <v>465</v>
      </c>
      <c r="D44" s="68" t="s">
        <v>449</v>
      </c>
      <c r="E44" s="68" t="s">
        <v>466</v>
      </c>
      <c r="F44" s="68" t="s">
        <v>466</v>
      </c>
      <c r="G44" s="14" t="s">
        <v>60</v>
      </c>
      <c r="H44" s="15"/>
      <c r="I44" s="15" t="s">
        <v>346</v>
      </c>
      <c r="J44" s="16"/>
    </row>
    <row r="45" spans="1:10" ht="50.45">
      <c r="A45" s="68" t="s">
        <v>467</v>
      </c>
      <c r="B45" s="68" t="s">
        <v>468</v>
      </c>
      <c r="C45" s="68" t="s">
        <v>469</v>
      </c>
      <c r="D45" s="68" t="s">
        <v>449</v>
      </c>
      <c r="E45" s="68" t="s">
        <v>470</v>
      </c>
      <c r="F45" s="68" t="s">
        <v>470</v>
      </c>
      <c r="G45" s="14" t="s">
        <v>60</v>
      </c>
      <c r="H45" s="15"/>
      <c r="I45" s="15" t="s">
        <v>346</v>
      </c>
      <c r="J45" s="16"/>
    </row>
    <row r="46" spans="1:10" ht="50.45">
      <c r="A46" s="68" t="s">
        <v>471</v>
      </c>
      <c r="B46" s="68" t="s">
        <v>472</v>
      </c>
      <c r="C46" s="68" t="s">
        <v>473</v>
      </c>
      <c r="D46" s="68" t="s">
        <v>449</v>
      </c>
      <c r="E46" s="68" t="s">
        <v>474</v>
      </c>
      <c r="F46" s="68" t="s">
        <v>474</v>
      </c>
      <c r="G46" s="14" t="s">
        <v>60</v>
      </c>
      <c r="H46" s="15"/>
      <c r="I46" s="15" t="s">
        <v>346</v>
      </c>
      <c r="J46" s="16"/>
    </row>
    <row r="47" spans="1:10" ht="50.45">
      <c r="A47" s="68" t="s">
        <v>475</v>
      </c>
      <c r="B47" s="68" t="s">
        <v>476</v>
      </c>
      <c r="C47" s="68" t="s">
        <v>477</v>
      </c>
      <c r="D47" s="68" t="s">
        <v>449</v>
      </c>
      <c r="E47" s="68" t="s">
        <v>478</v>
      </c>
      <c r="F47" s="68" t="s">
        <v>478</v>
      </c>
      <c r="G47" s="14" t="s">
        <v>60</v>
      </c>
      <c r="H47" s="15"/>
      <c r="I47" s="15" t="s">
        <v>346</v>
      </c>
      <c r="J47" s="16"/>
    </row>
    <row r="48" spans="1:10" ht="33.6">
      <c r="A48" s="68" t="s">
        <v>479</v>
      </c>
      <c r="B48" s="68" t="s">
        <v>480</v>
      </c>
      <c r="C48" s="68" t="s">
        <v>481</v>
      </c>
      <c r="D48" s="68" t="s">
        <v>449</v>
      </c>
      <c r="E48" s="68" t="s">
        <v>482</v>
      </c>
      <c r="F48" s="68" t="s">
        <v>482</v>
      </c>
      <c r="G48" s="14" t="s">
        <v>60</v>
      </c>
      <c r="H48" s="15"/>
      <c r="I48" s="15" t="s">
        <v>346</v>
      </c>
      <c r="J48" s="16"/>
    </row>
  </sheetData>
  <mergeCells count="17">
    <mergeCell ref="A16:A21"/>
    <mergeCell ref="B16:B21"/>
    <mergeCell ref="C16:C21"/>
    <mergeCell ref="D16:D21"/>
    <mergeCell ref="A29:J29"/>
    <mergeCell ref="G8:I8"/>
    <mergeCell ref="J8:J10"/>
    <mergeCell ref="G9:I9"/>
    <mergeCell ref="A11:J11"/>
    <mergeCell ref="B1:F1"/>
    <mergeCell ref="B2:F2"/>
    <mergeCell ref="A8:A10"/>
    <mergeCell ref="B8:B10"/>
    <mergeCell ref="C8:C10"/>
    <mergeCell ref="D8:D10"/>
    <mergeCell ref="E8:E10"/>
    <mergeCell ref="F8:F10"/>
  </mergeCells>
  <phoneticPr fontId="10" type="noConversion"/>
  <conditionalFormatting sqref="G12:G28 G30:G48">
    <cfRule type="containsText" dxfId="15" priority="1" operator="containsText" text="Hoàn thành">
      <formula>NOT(ISERROR(SEARCH("Hoàn thành",G12)))</formula>
    </cfRule>
    <cfRule type="containsText" dxfId="14" priority="2" operator="containsText" text="Lỗi">
      <formula>NOT(ISERROR(SEARCH("Lỗi",G12)))</formula>
    </cfRule>
    <cfRule type="containsText" dxfId="13" priority="3" operator="containsText" text="Hoàn thành">
      <formula>NOT(ISERROR(SEARCH("Hoàn thành",G12)))</formula>
    </cfRule>
    <cfRule type="containsText" dxfId="12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8 G30:G48" xr:uid="{A573393A-5DFB-4F5F-B315-2AB1F234EF82}">
      <formula1>"Pass, Fail, Chưa kiểm tra, Bị chặn"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E354-F125-40BA-B08D-1C326DA0177E}">
  <sheetPr>
    <tabColor theme="7"/>
  </sheetPr>
  <dimension ref="A1:J56"/>
  <sheetViews>
    <sheetView topLeftCell="A15" zoomScale="58" workbookViewId="0">
      <selection activeCell="I25" sqref="I25:I56"/>
    </sheetView>
  </sheetViews>
  <sheetFormatPr defaultColWidth="9.140625" defaultRowHeight="16.899999999999999"/>
  <cols>
    <col min="1" max="1" width="21.28515625" style="11" bestFit="1" customWidth="1"/>
    <col min="2" max="2" width="47.28515625" style="11" customWidth="1"/>
    <col min="3" max="3" width="34.285156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703125" style="11" bestFit="1" customWidth="1"/>
    <col min="9" max="9" width="22.7109375" style="11" bestFit="1" customWidth="1"/>
    <col min="10" max="10" width="16" style="11" bestFit="1" customWidth="1"/>
    <col min="11" max="16384" width="9.140625" style="11"/>
  </cols>
  <sheetData>
    <row r="1" spans="1:10" s="3" customFormat="1" ht="15.75" customHeight="1">
      <c r="A1" s="101" t="s">
        <v>36</v>
      </c>
      <c r="B1" s="102" t="s">
        <v>37</v>
      </c>
      <c r="C1" s="102"/>
      <c r="D1" s="102"/>
      <c r="E1" s="102"/>
      <c r="F1" s="102"/>
      <c r="G1" s="1"/>
      <c r="H1" s="2"/>
    </row>
    <row r="2" spans="1:10" s="3" customFormat="1">
      <c r="A2" s="101" t="s">
        <v>38</v>
      </c>
      <c r="B2" s="103" t="s">
        <v>483</v>
      </c>
      <c r="C2" s="103"/>
      <c r="D2" s="103"/>
      <c r="E2" s="103"/>
      <c r="F2" s="103"/>
      <c r="G2" s="1"/>
      <c r="H2" s="2"/>
    </row>
    <row r="3" spans="1:10" s="3" customFormat="1" ht="16.5" customHeight="1">
      <c r="A3" s="104"/>
      <c r="B3" s="105" t="s">
        <v>10</v>
      </c>
      <c r="C3" s="105" t="s">
        <v>11</v>
      </c>
      <c r="D3" s="105" t="s">
        <v>39</v>
      </c>
      <c r="E3" s="105" t="s">
        <v>40</v>
      </c>
      <c r="F3" s="105" t="s">
        <v>41</v>
      </c>
      <c r="G3" s="1"/>
      <c r="H3" s="2"/>
    </row>
    <row r="4" spans="1:10" s="3" customFormat="1">
      <c r="A4" s="106" t="s">
        <v>42</v>
      </c>
      <c r="B4" s="107">
        <v>43</v>
      </c>
      <c r="C4" s="107">
        <v>0</v>
      </c>
      <c r="D4" s="104">
        <v>0</v>
      </c>
      <c r="E4" s="108">
        <v>0</v>
      </c>
      <c r="F4" s="104">
        <f>SUM(B4:E4)</f>
        <v>43</v>
      </c>
      <c r="G4" s="1"/>
      <c r="H4" s="2"/>
    </row>
    <row r="5" spans="1:10" s="3" customFormat="1">
      <c r="A5" s="106" t="s">
        <v>43</v>
      </c>
      <c r="B5" s="107">
        <v>43</v>
      </c>
      <c r="C5" s="107">
        <v>0</v>
      </c>
      <c r="D5" s="104">
        <v>0</v>
      </c>
      <c r="E5" s="108">
        <v>0</v>
      </c>
      <c r="F5" s="104">
        <f>SUM(B5:E5)</f>
        <v>43</v>
      </c>
      <c r="G5" s="1"/>
      <c r="H5" s="2"/>
    </row>
    <row r="6" spans="1:10" s="3" customFormat="1" ht="409.15" customHeight="1">
      <c r="A6" s="4"/>
      <c r="B6" s="5"/>
      <c r="E6" s="6"/>
      <c r="G6" s="1"/>
      <c r="H6" s="2"/>
    </row>
    <row r="7" spans="1:10" s="3" customFormat="1" ht="59.45" customHeight="1">
      <c r="A7" s="4"/>
      <c r="B7" s="5"/>
      <c r="E7" s="6"/>
      <c r="G7" s="1"/>
      <c r="H7" s="2"/>
    </row>
    <row r="8" spans="1:10" s="3" customFormat="1">
      <c r="A8" s="109" t="s">
        <v>44</v>
      </c>
      <c r="B8" s="109" t="s">
        <v>45</v>
      </c>
      <c r="C8" s="109" t="s">
        <v>46</v>
      </c>
      <c r="D8" s="109" t="s">
        <v>47</v>
      </c>
      <c r="E8" s="109" t="s">
        <v>48</v>
      </c>
      <c r="F8" s="109" t="s">
        <v>49</v>
      </c>
      <c r="G8" s="109" t="s">
        <v>50</v>
      </c>
      <c r="H8" s="109"/>
      <c r="I8" s="109"/>
      <c r="J8" s="109" t="s">
        <v>51</v>
      </c>
    </row>
    <row r="9" spans="1:10" s="3" customFormat="1">
      <c r="A9" s="109"/>
      <c r="B9" s="109"/>
      <c r="C9" s="109"/>
      <c r="D9" s="109"/>
      <c r="E9" s="109"/>
      <c r="F9" s="109"/>
      <c r="G9" s="109" t="s">
        <v>19</v>
      </c>
      <c r="H9" s="109"/>
      <c r="I9" s="109"/>
      <c r="J9" s="109"/>
    </row>
    <row r="10" spans="1:10" s="3" customFormat="1">
      <c r="A10" s="109"/>
      <c r="B10" s="109"/>
      <c r="C10" s="109"/>
      <c r="D10" s="109"/>
      <c r="E10" s="109"/>
      <c r="F10" s="109"/>
      <c r="G10" s="110" t="s">
        <v>52</v>
      </c>
      <c r="H10" s="111" t="s">
        <v>53</v>
      </c>
      <c r="I10" s="105" t="s">
        <v>54</v>
      </c>
      <c r="J10" s="109"/>
    </row>
    <row r="11" spans="1:10" s="3" customFormat="1">
      <c r="A11" s="85" t="s">
        <v>484</v>
      </c>
      <c r="B11" s="85"/>
      <c r="C11" s="85"/>
      <c r="D11" s="85"/>
      <c r="E11" s="85"/>
      <c r="F11" s="85"/>
      <c r="G11" s="85"/>
      <c r="H11" s="112"/>
      <c r="I11" s="112"/>
      <c r="J11" s="112"/>
    </row>
    <row r="12" spans="1:10" s="3" customFormat="1" ht="50.45">
      <c r="A12" s="68" t="s">
        <v>485</v>
      </c>
      <c r="B12" s="68" t="s">
        <v>486</v>
      </c>
      <c r="C12" s="68" t="s">
        <v>344</v>
      </c>
      <c r="D12" s="68"/>
      <c r="E12" s="68" t="s">
        <v>487</v>
      </c>
      <c r="F12" s="68" t="s">
        <v>487</v>
      </c>
      <c r="G12" s="14" t="s">
        <v>60</v>
      </c>
      <c r="H12" s="15"/>
      <c r="I12" s="15" t="s">
        <v>346</v>
      </c>
      <c r="J12" s="16"/>
    </row>
    <row r="13" spans="1:10" s="3" customFormat="1" ht="67.150000000000006">
      <c r="A13" s="68" t="s">
        <v>488</v>
      </c>
      <c r="B13" s="68" t="s">
        <v>489</v>
      </c>
      <c r="C13" s="68" t="s">
        <v>490</v>
      </c>
      <c r="D13" s="68"/>
      <c r="E13" s="68" t="s">
        <v>491</v>
      </c>
      <c r="F13" s="68" t="s">
        <v>491</v>
      </c>
      <c r="G13" s="14" t="s">
        <v>60</v>
      </c>
      <c r="H13" s="15"/>
      <c r="I13" s="15" t="s">
        <v>346</v>
      </c>
      <c r="J13" s="16"/>
    </row>
    <row r="14" spans="1:10" s="3" customFormat="1" ht="50.45">
      <c r="A14" s="68" t="s">
        <v>492</v>
      </c>
      <c r="B14" s="68" t="s">
        <v>493</v>
      </c>
      <c r="C14" s="68" t="s">
        <v>494</v>
      </c>
      <c r="D14" s="68"/>
      <c r="E14" s="68" t="s">
        <v>495</v>
      </c>
      <c r="F14" s="68" t="s">
        <v>495</v>
      </c>
      <c r="G14" s="14" t="s">
        <v>60</v>
      </c>
      <c r="H14" s="15"/>
      <c r="I14" s="15" t="s">
        <v>346</v>
      </c>
      <c r="J14" s="16"/>
    </row>
    <row r="15" spans="1:10" s="3" customFormat="1" ht="50.45">
      <c r="A15" s="68" t="s">
        <v>496</v>
      </c>
      <c r="B15" s="68" t="s">
        <v>497</v>
      </c>
      <c r="C15" s="68" t="s">
        <v>498</v>
      </c>
      <c r="D15" s="68"/>
      <c r="E15" s="68" t="s">
        <v>499</v>
      </c>
      <c r="F15" s="68" t="s">
        <v>499</v>
      </c>
      <c r="G15" s="14" t="s">
        <v>60</v>
      </c>
      <c r="H15" s="15"/>
      <c r="I15" s="15" t="s">
        <v>346</v>
      </c>
      <c r="J15" s="16"/>
    </row>
    <row r="16" spans="1:10" s="3" customFormat="1" ht="67.150000000000006">
      <c r="A16" s="68" t="s">
        <v>500</v>
      </c>
      <c r="B16" s="68" t="s">
        <v>501</v>
      </c>
      <c r="C16" s="68" t="s">
        <v>502</v>
      </c>
      <c r="D16" s="68" t="s">
        <v>503</v>
      </c>
      <c r="E16" s="68" t="s">
        <v>504</v>
      </c>
      <c r="F16" s="68" t="s">
        <v>504</v>
      </c>
      <c r="G16" s="14" t="s">
        <v>60</v>
      </c>
      <c r="H16" s="15"/>
      <c r="I16" s="15" t="s">
        <v>346</v>
      </c>
      <c r="J16" s="16"/>
    </row>
    <row r="17" spans="1:10" s="3" customFormat="1" ht="67.150000000000006">
      <c r="A17" s="68" t="s">
        <v>505</v>
      </c>
      <c r="B17" s="68" t="s">
        <v>506</v>
      </c>
      <c r="C17" s="68" t="s">
        <v>507</v>
      </c>
      <c r="D17" s="68"/>
      <c r="E17" s="68" t="s">
        <v>508</v>
      </c>
      <c r="F17" s="68" t="s">
        <v>508</v>
      </c>
      <c r="G17" s="14" t="s">
        <v>60</v>
      </c>
      <c r="H17" s="15"/>
      <c r="I17" s="15" t="s">
        <v>346</v>
      </c>
      <c r="J17" s="16"/>
    </row>
    <row r="18" spans="1:10" s="3" customFormat="1" ht="33.6">
      <c r="A18" s="68" t="s">
        <v>509</v>
      </c>
      <c r="B18" s="68" t="s">
        <v>510</v>
      </c>
      <c r="C18" s="68" t="s">
        <v>511</v>
      </c>
      <c r="D18" s="68" t="s">
        <v>512</v>
      </c>
      <c r="E18" s="68" t="s">
        <v>513</v>
      </c>
      <c r="F18" s="68" t="s">
        <v>513</v>
      </c>
      <c r="G18" s="14" t="s">
        <v>60</v>
      </c>
      <c r="H18" s="15"/>
      <c r="I18" s="15" t="s">
        <v>346</v>
      </c>
      <c r="J18" s="16"/>
    </row>
    <row r="19" spans="1:10" s="3" customFormat="1" ht="33.6">
      <c r="A19" s="68" t="s">
        <v>514</v>
      </c>
      <c r="B19" s="68" t="s">
        <v>515</v>
      </c>
      <c r="C19" s="68" t="s">
        <v>516</v>
      </c>
      <c r="D19" s="68"/>
      <c r="E19" s="68" t="s">
        <v>517</v>
      </c>
      <c r="F19" s="68" t="s">
        <v>517</v>
      </c>
      <c r="G19" s="14" t="s">
        <v>60</v>
      </c>
      <c r="H19" s="15"/>
      <c r="I19" s="15" t="s">
        <v>346</v>
      </c>
      <c r="J19" s="16"/>
    </row>
    <row r="20" spans="1:10" s="3" customFormat="1" ht="33.6">
      <c r="A20" s="68" t="s">
        <v>518</v>
      </c>
      <c r="B20" s="68" t="s">
        <v>519</v>
      </c>
      <c r="C20" s="68" t="s">
        <v>520</v>
      </c>
      <c r="D20" s="68"/>
      <c r="E20" s="68" t="s">
        <v>521</v>
      </c>
      <c r="F20" s="68" t="s">
        <v>521</v>
      </c>
      <c r="G20" s="14" t="s">
        <v>60</v>
      </c>
      <c r="H20" s="15"/>
      <c r="I20" s="15" t="s">
        <v>346</v>
      </c>
      <c r="J20" s="16"/>
    </row>
    <row r="21" spans="1:10" s="3" customFormat="1" ht="33.6">
      <c r="A21" s="68" t="s">
        <v>522</v>
      </c>
      <c r="B21" s="68" t="s">
        <v>523</v>
      </c>
      <c r="C21" s="68" t="s">
        <v>524</v>
      </c>
      <c r="D21" s="68"/>
      <c r="E21" s="68" t="s">
        <v>525</v>
      </c>
      <c r="F21" s="68" t="s">
        <v>525</v>
      </c>
      <c r="G21" s="14" t="s">
        <v>60</v>
      </c>
      <c r="H21" s="15"/>
      <c r="I21" s="15" t="s">
        <v>346</v>
      </c>
      <c r="J21" s="16"/>
    </row>
    <row r="22" spans="1:10" s="3" customFormat="1" ht="33.6">
      <c r="A22" s="68" t="s">
        <v>526</v>
      </c>
      <c r="B22" s="68" t="s">
        <v>527</v>
      </c>
      <c r="C22" s="68" t="s">
        <v>528</v>
      </c>
      <c r="D22" s="68" t="s">
        <v>529</v>
      </c>
      <c r="E22" s="68" t="s">
        <v>530</v>
      </c>
      <c r="F22" s="68" t="s">
        <v>530</v>
      </c>
      <c r="G22" s="14" t="s">
        <v>60</v>
      </c>
      <c r="H22" s="15"/>
      <c r="I22" s="15" t="s">
        <v>346</v>
      </c>
      <c r="J22" s="16"/>
    </row>
    <row r="23" spans="1:10" s="3" customFormat="1" ht="33.6">
      <c r="A23" s="68" t="s">
        <v>531</v>
      </c>
      <c r="B23" s="68" t="s">
        <v>532</v>
      </c>
      <c r="C23" s="68" t="s">
        <v>533</v>
      </c>
      <c r="D23" s="68" t="s">
        <v>534</v>
      </c>
      <c r="E23" s="68" t="s">
        <v>535</v>
      </c>
      <c r="F23" s="68" t="s">
        <v>535</v>
      </c>
      <c r="G23" s="14" t="s">
        <v>60</v>
      </c>
      <c r="H23" s="15"/>
      <c r="I23" s="15" t="s">
        <v>346</v>
      </c>
      <c r="J23" s="16"/>
    </row>
    <row r="24" spans="1:10" s="3" customFormat="1">
      <c r="A24" s="84" t="s">
        <v>536</v>
      </c>
      <c r="B24" s="87"/>
      <c r="C24" s="87"/>
      <c r="D24" s="87"/>
      <c r="E24" s="87"/>
      <c r="F24" s="88"/>
      <c r="G24" s="86"/>
      <c r="H24" s="113"/>
      <c r="I24" s="113"/>
      <c r="J24" s="113"/>
    </row>
    <row r="25" spans="1:10" s="3" customFormat="1" ht="50.45">
      <c r="A25" s="68" t="s">
        <v>537</v>
      </c>
      <c r="B25" s="68" t="s">
        <v>538</v>
      </c>
      <c r="C25" s="68" t="s">
        <v>539</v>
      </c>
      <c r="D25" s="68" t="s">
        <v>540</v>
      </c>
      <c r="E25" s="68" t="s">
        <v>541</v>
      </c>
      <c r="F25" s="68" t="s">
        <v>541</v>
      </c>
      <c r="G25" s="12" t="s">
        <v>60</v>
      </c>
      <c r="H25" s="15"/>
      <c r="I25" s="15" t="s">
        <v>346</v>
      </c>
      <c r="J25" s="16"/>
    </row>
    <row r="26" spans="1:10" s="3" customFormat="1" ht="33.6">
      <c r="A26" s="68" t="s">
        <v>542</v>
      </c>
      <c r="B26" s="68" t="s">
        <v>543</v>
      </c>
      <c r="C26" s="68" t="s">
        <v>544</v>
      </c>
      <c r="D26" s="68"/>
      <c r="E26" s="68" t="s">
        <v>545</v>
      </c>
      <c r="F26" s="68" t="s">
        <v>545</v>
      </c>
      <c r="G26" s="12" t="s">
        <v>60</v>
      </c>
      <c r="H26" s="15"/>
      <c r="I26" s="15" t="s">
        <v>346</v>
      </c>
      <c r="J26" s="16"/>
    </row>
    <row r="27" spans="1:10" s="3" customFormat="1" ht="50.45">
      <c r="A27" s="68" t="s">
        <v>546</v>
      </c>
      <c r="B27" s="68" t="s">
        <v>547</v>
      </c>
      <c r="C27" s="68" t="s">
        <v>548</v>
      </c>
      <c r="D27" s="68"/>
      <c r="E27" s="68" t="s">
        <v>549</v>
      </c>
      <c r="F27" s="68" t="s">
        <v>549</v>
      </c>
      <c r="G27" s="12" t="s">
        <v>60</v>
      </c>
      <c r="H27" s="15"/>
      <c r="I27" s="15" t="s">
        <v>346</v>
      </c>
      <c r="J27" s="16"/>
    </row>
    <row r="28" spans="1:10" s="3" customFormat="1" ht="33.6">
      <c r="A28" s="68" t="s">
        <v>550</v>
      </c>
      <c r="B28" s="68" t="s">
        <v>551</v>
      </c>
      <c r="C28" s="68" t="s">
        <v>552</v>
      </c>
      <c r="D28" s="68"/>
      <c r="E28" s="68" t="s">
        <v>553</v>
      </c>
      <c r="F28" s="68" t="s">
        <v>553</v>
      </c>
      <c r="G28" s="12" t="s">
        <v>60</v>
      </c>
      <c r="H28" s="15"/>
      <c r="I28" s="15" t="s">
        <v>346</v>
      </c>
      <c r="J28" s="16"/>
    </row>
    <row r="29" spans="1:10" s="3" customFormat="1">
      <c r="A29" s="68" t="s">
        <v>554</v>
      </c>
      <c r="B29" s="68" t="s">
        <v>555</v>
      </c>
      <c r="C29" s="68" t="s">
        <v>556</v>
      </c>
      <c r="D29" s="68"/>
      <c r="E29" s="68" t="s">
        <v>557</v>
      </c>
      <c r="F29" s="68" t="s">
        <v>557</v>
      </c>
      <c r="G29" s="12" t="s">
        <v>60</v>
      </c>
      <c r="H29" s="15"/>
      <c r="I29" s="15" t="s">
        <v>346</v>
      </c>
      <c r="J29" s="16"/>
    </row>
    <row r="30" spans="1:10" s="3" customFormat="1">
      <c r="A30" s="68" t="s">
        <v>558</v>
      </c>
      <c r="B30" s="68" t="s">
        <v>559</v>
      </c>
      <c r="C30" s="68" t="s">
        <v>560</v>
      </c>
      <c r="D30" s="68"/>
      <c r="E30" s="68" t="s">
        <v>561</v>
      </c>
      <c r="F30" s="68" t="s">
        <v>561</v>
      </c>
      <c r="G30" s="12" t="s">
        <v>60</v>
      </c>
      <c r="H30" s="15"/>
      <c r="I30" s="15" t="s">
        <v>346</v>
      </c>
      <c r="J30" s="16"/>
    </row>
    <row r="31" spans="1:10" s="3" customFormat="1" ht="33.6">
      <c r="A31" s="68" t="s">
        <v>562</v>
      </c>
      <c r="B31" s="68" t="s">
        <v>563</v>
      </c>
      <c r="C31" s="68" t="s">
        <v>564</v>
      </c>
      <c r="D31" s="68" t="s">
        <v>565</v>
      </c>
      <c r="E31" s="68" t="s">
        <v>566</v>
      </c>
      <c r="F31" s="68" t="s">
        <v>566</v>
      </c>
      <c r="G31" s="12" t="s">
        <v>60</v>
      </c>
      <c r="H31" s="15"/>
      <c r="I31" s="15" t="s">
        <v>346</v>
      </c>
      <c r="J31" s="16"/>
    </row>
    <row r="32" spans="1:10" s="3" customFormat="1" ht="33.6">
      <c r="A32" s="68" t="s">
        <v>567</v>
      </c>
      <c r="B32" s="68" t="s">
        <v>568</v>
      </c>
      <c r="C32" s="68" t="s">
        <v>569</v>
      </c>
      <c r="D32" s="68"/>
      <c r="E32" s="68" t="s">
        <v>570</v>
      </c>
      <c r="F32" s="68" t="s">
        <v>570</v>
      </c>
      <c r="G32" s="12" t="s">
        <v>60</v>
      </c>
      <c r="H32" s="15"/>
      <c r="I32" s="15" t="s">
        <v>346</v>
      </c>
      <c r="J32" s="16"/>
    </row>
    <row r="33" spans="1:10" s="3" customFormat="1">
      <c r="A33" s="68" t="s">
        <v>571</v>
      </c>
      <c r="B33" s="68" t="s">
        <v>572</v>
      </c>
      <c r="C33" s="68" t="s">
        <v>573</v>
      </c>
      <c r="D33" s="68"/>
      <c r="E33" s="68" t="s">
        <v>574</v>
      </c>
      <c r="F33" s="68" t="s">
        <v>574</v>
      </c>
      <c r="G33" s="12" t="s">
        <v>60</v>
      </c>
      <c r="H33" s="15"/>
      <c r="I33" s="15" t="s">
        <v>346</v>
      </c>
      <c r="J33" s="16"/>
    </row>
    <row r="34" spans="1:10" ht="33.6">
      <c r="A34" s="68" t="s">
        <v>575</v>
      </c>
      <c r="B34" s="68" t="s">
        <v>576</v>
      </c>
      <c r="C34" s="68" t="s">
        <v>577</v>
      </c>
      <c r="D34" s="68"/>
      <c r="E34" s="68" t="s">
        <v>578</v>
      </c>
      <c r="F34" s="68" t="s">
        <v>578</v>
      </c>
      <c r="G34" s="12" t="s">
        <v>60</v>
      </c>
      <c r="H34" s="15"/>
      <c r="I34" s="15" t="s">
        <v>346</v>
      </c>
      <c r="J34" s="16"/>
    </row>
    <row r="35" spans="1:10" ht="33.6">
      <c r="A35" s="68" t="s">
        <v>579</v>
      </c>
      <c r="B35" s="68" t="s">
        <v>580</v>
      </c>
      <c r="C35" s="68" t="s">
        <v>581</v>
      </c>
      <c r="D35" s="68" t="s">
        <v>582</v>
      </c>
      <c r="E35" s="68" t="s">
        <v>583</v>
      </c>
      <c r="F35" s="68" t="s">
        <v>583</v>
      </c>
      <c r="G35" s="12" t="s">
        <v>60</v>
      </c>
      <c r="H35" s="15"/>
      <c r="I35" s="15" t="s">
        <v>346</v>
      </c>
      <c r="J35" s="16"/>
    </row>
    <row r="36" spans="1:10">
      <c r="A36" s="83" t="s">
        <v>584</v>
      </c>
      <c r="B36" s="83" t="s">
        <v>585</v>
      </c>
      <c r="C36" s="83" t="s">
        <v>586</v>
      </c>
      <c r="D36" s="83" t="s">
        <v>587</v>
      </c>
      <c r="E36" s="68" t="s">
        <v>588</v>
      </c>
      <c r="F36" s="68" t="s">
        <v>588</v>
      </c>
      <c r="G36" s="12" t="s">
        <v>60</v>
      </c>
      <c r="H36" s="15"/>
      <c r="I36" s="15" t="s">
        <v>346</v>
      </c>
      <c r="J36" s="16"/>
    </row>
    <row r="37" spans="1:10" ht="50.45">
      <c r="A37" s="83"/>
      <c r="B37" s="83"/>
      <c r="C37" s="83"/>
      <c r="D37" s="83"/>
      <c r="E37" s="68" t="s">
        <v>589</v>
      </c>
      <c r="F37" s="68" t="s">
        <v>589</v>
      </c>
      <c r="G37" s="12" t="s">
        <v>60</v>
      </c>
      <c r="H37" s="15"/>
      <c r="I37" s="15" t="s">
        <v>346</v>
      </c>
      <c r="J37" s="16"/>
    </row>
    <row r="38" spans="1:10" ht="33.6">
      <c r="A38" s="68" t="s">
        <v>590</v>
      </c>
      <c r="B38" s="68" t="s">
        <v>591</v>
      </c>
      <c r="C38" s="68" t="s">
        <v>592</v>
      </c>
      <c r="D38" s="68"/>
      <c r="E38" s="68" t="s">
        <v>593</v>
      </c>
      <c r="F38" s="68" t="s">
        <v>593</v>
      </c>
      <c r="G38" s="12" t="s">
        <v>60</v>
      </c>
      <c r="H38" s="15"/>
      <c r="I38" s="15" t="s">
        <v>346</v>
      </c>
      <c r="J38" s="16"/>
    </row>
    <row r="39" spans="1:10" ht="33.6">
      <c r="A39" s="68" t="s">
        <v>594</v>
      </c>
      <c r="B39" s="68" t="s">
        <v>595</v>
      </c>
      <c r="C39" s="68" t="s">
        <v>596</v>
      </c>
      <c r="D39" s="68"/>
      <c r="E39" s="68" t="s">
        <v>597</v>
      </c>
      <c r="F39" s="68" t="s">
        <v>597</v>
      </c>
      <c r="G39" s="12" t="s">
        <v>60</v>
      </c>
      <c r="H39" s="15"/>
      <c r="I39" s="15" t="s">
        <v>346</v>
      </c>
      <c r="J39" s="16"/>
    </row>
    <row r="40" spans="1:10" ht="50.45">
      <c r="A40" s="68" t="s">
        <v>598</v>
      </c>
      <c r="B40" s="68" t="s">
        <v>599</v>
      </c>
      <c r="C40" s="68" t="s">
        <v>600</v>
      </c>
      <c r="D40" s="68" t="s">
        <v>601</v>
      </c>
      <c r="E40" s="68" t="s">
        <v>602</v>
      </c>
      <c r="F40" s="68" t="s">
        <v>602</v>
      </c>
      <c r="G40" s="12" t="s">
        <v>60</v>
      </c>
      <c r="H40" s="15"/>
      <c r="I40" s="15" t="s">
        <v>346</v>
      </c>
      <c r="J40" s="16"/>
    </row>
    <row r="41" spans="1:10" ht="33.6">
      <c r="A41" s="68" t="s">
        <v>603</v>
      </c>
      <c r="B41" s="68" t="s">
        <v>604</v>
      </c>
      <c r="C41" s="68" t="s">
        <v>605</v>
      </c>
      <c r="D41" s="68"/>
      <c r="E41" s="68" t="s">
        <v>606</v>
      </c>
      <c r="F41" s="68" t="s">
        <v>606</v>
      </c>
      <c r="G41" s="12" t="s">
        <v>60</v>
      </c>
      <c r="H41" s="15"/>
      <c r="I41" s="15" t="s">
        <v>346</v>
      </c>
      <c r="J41" s="16"/>
    </row>
    <row r="42" spans="1:10" ht="33.6">
      <c r="A42" s="68" t="s">
        <v>607</v>
      </c>
      <c r="B42" s="68" t="s">
        <v>608</v>
      </c>
      <c r="C42" s="68" t="s">
        <v>609</v>
      </c>
      <c r="D42" s="68"/>
      <c r="E42" s="68" t="s">
        <v>610</v>
      </c>
      <c r="F42" s="68" t="s">
        <v>610</v>
      </c>
      <c r="G42" s="12" t="s">
        <v>60</v>
      </c>
      <c r="H42" s="15"/>
      <c r="I42" s="15" t="s">
        <v>346</v>
      </c>
      <c r="J42" s="16"/>
    </row>
    <row r="43" spans="1:10" ht="33.6">
      <c r="A43" s="68" t="s">
        <v>611</v>
      </c>
      <c r="B43" s="68" t="s">
        <v>612</v>
      </c>
      <c r="C43" s="68" t="s">
        <v>613</v>
      </c>
      <c r="D43" s="68"/>
      <c r="E43" s="68" t="s">
        <v>614</v>
      </c>
      <c r="F43" s="68" t="s">
        <v>614</v>
      </c>
      <c r="G43" s="12" t="s">
        <v>60</v>
      </c>
      <c r="H43" s="15"/>
      <c r="I43" s="15" t="s">
        <v>346</v>
      </c>
      <c r="J43" s="16"/>
    </row>
    <row r="44" spans="1:10" ht="33.6">
      <c r="A44" s="68" t="s">
        <v>615</v>
      </c>
      <c r="B44" s="68" t="s">
        <v>616</v>
      </c>
      <c r="C44" s="68" t="s">
        <v>617</v>
      </c>
      <c r="D44" s="68" t="s">
        <v>618</v>
      </c>
      <c r="E44" s="68" t="s">
        <v>619</v>
      </c>
      <c r="F44" s="68" t="s">
        <v>619</v>
      </c>
      <c r="G44" s="12" t="s">
        <v>60</v>
      </c>
      <c r="H44" s="15"/>
      <c r="I44" s="15" t="s">
        <v>346</v>
      </c>
      <c r="J44" s="16"/>
    </row>
    <row r="45" spans="1:10" ht="33.6">
      <c r="A45" s="68" t="s">
        <v>620</v>
      </c>
      <c r="B45" s="68" t="s">
        <v>621</v>
      </c>
      <c r="C45" s="68" t="s">
        <v>622</v>
      </c>
      <c r="D45" s="68"/>
      <c r="E45" s="68" t="s">
        <v>623</v>
      </c>
      <c r="F45" s="68" t="s">
        <v>623</v>
      </c>
      <c r="G45" s="12" t="s">
        <v>60</v>
      </c>
      <c r="H45" s="15"/>
      <c r="I45" s="15" t="s">
        <v>346</v>
      </c>
      <c r="J45" s="16"/>
    </row>
    <row r="46" spans="1:10" ht="50.45">
      <c r="A46" s="68" t="s">
        <v>624</v>
      </c>
      <c r="B46" s="68" t="s">
        <v>625</v>
      </c>
      <c r="C46" s="68" t="s">
        <v>626</v>
      </c>
      <c r="D46" s="68"/>
      <c r="E46" s="68" t="s">
        <v>627</v>
      </c>
      <c r="F46" s="68" t="s">
        <v>627</v>
      </c>
      <c r="G46" s="12" t="s">
        <v>60</v>
      </c>
      <c r="H46" s="15"/>
      <c r="I46" s="15" t="s">
        <v>346</v>
      </c>
      <c r="J46" s="16"/>
    </row>
    <row r="47" spans="1:10" ht="33.6">
      <c r="A47" s="68" t="s">
        <v>628</v>
      </c>
      <c r="B47" s="68" t="s">
        <v>629</v>
      </c>
      <c r="C47" s="68" t="s">
        <v>630</v>
      </c>
      <c r="D47" s="68"/>
      <c r="E47" s="68" t="s">
        <v>631</v>
      </c>
      <c r="F47" s="68" t="s">
        <v>631</v>
      </c>
      <c r="G47" s="12" t="s">
        <v>60</v>
      </c>
      <c r="H47" s="15"/>
      <c r="I47" s="15" t="s">
        <v>346</v>
      </c>
      <c r="J47" s="16"/>
    </row>
    <row r="48" spans="1:10" ht="33.6">
      <c r="A48" s="68" t="s">
        <v>632</v>
      </c>
      <c r="B48" s="68" t="s">
        <v>633</v>
      </c>
      <c r="C48" s="68" t="s">
        <v>634</v>
      </c>
      <c r="D48" s="68"/>
      <c r="E48" s="68" t="s">
        <v>635</v>
      </c>
      <c r="F48" s="68" t="s">
        <v>635</v>
      </c>
      <c r="G48" s="12" t="s">
        <v>60</v>
      </c>
      <c r="H48" s="15"/>
      <c r="I48" s="15" t="s">
        <v>346</v>
      </c>
      <c r="J48" s="16"/>
    </row>
    <row r="49" spans="1:10" ht="50.45">
      <c r="A49" s="68" t="s">
        <v>636</v>
      </c>
      <c r="B49" s="68" t="s">
        <v>637</v>
      </c>
      <c r="C49" s="68" t="s">
        <v>638</v>
      </c>
      <c r="D49" s="68" t="s">
        <v>639</v>
      </c>
      <c r="E49" s="68" t="s">
        <v>640</v>
      </c>
      <c r="F49" s="68" t="s">
        <v>640</v>
      </c>
      <c r="G49" s="12" t="s">
        <v>60</v>
      </c>
      <c r="H49" s="15"/>
      <c r="I49" s="15" t="s">
        <v>346</v>
      </c>
      <c r="J49" s="16"/>
    </row>
    <row r="50" spans="1:10" ht="33.6">
      <c r="A50" s="68" t="s">
        <v>641</v>
      </c>
      <c r="B50" s="68" t="s">
        <v>642</v>
      </c>
      <c r="C50" s="68" t="s">
        <v>643</v>
      </c>
      <c r="D50" s="68" t="s">
        <v>639</v>
      </c>
      <c r="E50" s="68" t="s">
        <v>644</v>
      </c>
      <c r="F50" s="68" t="s">
        <v>644</v>
      </c>
      <c r="G50" s="12" t="s">
        <v>60</v>
      </c>
      <c r="H50" s="15"/>
      <c r="I50" s="15" t="s">
        <v>346</v>
      </c>
      <c r="J50" s="16"/>
    </row>
    <row r="51" spans="1:10" ht="33.6">
      <c r="A51" s="68" t="s">
        <v>645</v>
      </c>
      <c r="B51" s="68" t="s">
        <v>646</v>
      </c>
      <c r="C51" s="68" t="s">
        <v>647</v>
      </c>
      <c r="D51" s="68" t="s">
        <v>639</v>
      </c>
      <c r="E51" s="68" t="s">
        <v>648</v>
      </c>
      <c r="F51" s="68" t="s">
        <v>648</v>
      </c>
      <c r="G51" s="12" t="s">
        <v>60</v>
      </c>
      <c r="H51" s="15"/>
      <c r="I51" s="15" t="s">
        <v>346</v>
      </c>
      <c r="J51" s="16"/>
    </row>
    <row r="52" spans="1:10" ht="33.6">
      <c r="A52" s="68" t="s">
        <v>649</v>
      </c>
      <c r="B52" s="68" t="s">
        <v>650</v>
      </c>
      <c r="C52" s="68" t="s">
        <v>651</v>
      </c>
      <c r="D52" s="68" t="s">
        <v>639</v>
      </c>
      <c r="E52" s="68" t="s">
        <v>652</v>
      </c>
      <c r="F52" s="68" t="s">
        <v>652</v>
      </c>
      <c r="G52" s="12" t="s">
        <v>60</v>
      </c>
      <c r="H52" s="15"/>
      <c r="I52" s="15" t="s">
        <v>346</v>
      </c>
      <c r="J52" s="16"/>
    </row>
    <row r="53" spans="1:10" ht="33.6">
      <c r="A53" s="68" t="s">
        <v>653</v>
      </c>
      <c r="B53" s="68" t="s">
        <v>654</v>
      </c>
      <c r="C53" s="68" t="s">
        <v>655</v>
      </c>
      <c r="D53" s="68" t="s">
        <v>639</v>
      </c>
      <c r="E53" s="68" t="s">
        <v>656</v>
      </c>
      <c r="F53" s="68" t="s">
        <v>656</v>
      </c>
      <c r="G53" s="12" t="s">
        <v>60</v>
      </c>
      <c r="H53" s="15"/>
      <c r="I53" s="15" t="s">
        <v>346</v>
      </c>
      <c r="J53" s="16"/>
    </row>
    <row r="54" spans="1:10" ht="50.45">
      <c r="A54" s="68" t="s">
        <v>657</v>
      </c>
      <c r="B54" s="68" t="s">
        <v>658</v>
      </c>
      <c r="C54" s="68" t="s">
        <v>659</v>
      </c>
      <c r="D54" s="68" t="s">
        <v>639</v>
      </c>
      <c r="E54" s="68" t="s">
        <v>660</v>
      </c>
      <c r="F54" s="68" t="s">
        <v>660</v>
      </c>
      <c r="G54" s="12" t="s">
        <v>60</v>
      </c>
      <c r="H54" s="15"/>
      <c r="I54" s="15" t="s">
        <v>346</v>
      </c>
      <c r="J54" s="16"/>
    </row>
    <row r="55" spans="1:10" ht="33.6">
      <c r="A55" s="68" t="s">
        <v>661</v>
      </c>
      <c r="B55" s="68" t="s">
        <v>662</v>
      </c>
      <c r="C55" s="68" t="s">
        <v>663</v>
      </c>
      <c r="D55" s="68"/>
      <c r="E55" s="68" t="s">
        <v>664</v>
      </c>
      <c r="F55" s="68" t="s">
        <v>664</v>
      </c>
      <c r="G55" s="12" t="s">
        <v>60</v>
      </c>
      <c r="H55" s="15"/>
      <c r="I55" s="15" t="s">
        <v>346</v>
      </c>
      <c r="J55" s="16"/>
    </row>
    <row r="56" spans="1:10" ht="50.45">
      <c r="A56" s="68" t="s">
        <v>665</v>
      </c>
      <c r="B56" s="68" t="s">
        <v>666</v>
      </c>
      <c r="C56" s="68" t="s">
        <v>667</v>
      </c>
      <c r="D56" s="68"/>
      <c r="E56" s="68" t="s">
        <v>668</v>
      </c>
      <c r="F56" s="68" t="s">
        <v>668</v>
      </c>
      <c r="G56" s="12" t="s">
        <v>60</v>
      </c>
      <c r="H56" s="15"/>
      <c r="I56" s="15" t="s">
        <v>346</v>
      </c>
      <c r="J56" s="16"/>
    </row>
  </sheetData>
  <mergeCells count="17">
    <mergeCell ref="G8:I8"/>
    <mergeCell ref="J8:J10"/>
    <mergeCell ref="G9:I9"/>
    <mergeCell ref="A11:J11"/>
    <mergeCell ref="B1:F1"/>
    <mergeCell ref="B2:F2"/>
    <mergeCell ref="A8:A10"/>
    <mergeCell ref="B8:B10"/>
    <mergeCell ref="C8:C10"/>
    <mergeCell ref="D8:D10"/>
    <mergeCell ref="E8:E10"/>
    <mergeCell ref="F8:F10"/>
    <mergeCell ref="A36:A37"/>
    <mergeCell ref="B36:B37"/>
    <mergeCell ref="C36:C37"/>
    <mergeCell ref="D36:D37"/>
    <mergeCell ref="A24:J24"/>
  </mergeCells>
  <phoneticPr fontId="10" type="noConversion"/>
  <conditionalFormatting sqref="G12:G23 G25:G56">
    <cfRule type="containsText" dxfId="11" priority="1" operator="containsText" text="Hoàn thành">
      <formula>NOT(ISERROR(SEARCH("Hoàn thành",G12)))</formula>
    </cfRule>
    <cfRule type="containsText" dxfId="10" priority="2" operator="containsText" text="Lỗi">
      <formula>NOT(ISERROR(SEARCH("Lỗi",G12)))</formula>
    </cfRule>
    <cfRule type="containsText" dxfId="9" priority="3" operator="containsText" text="Hoàn thành">
      <formula>NOT(ISERROR(SEARCH("Hoàn thành",G12)))</formula>
    </cfRule>
    <cfRule type="containsText" dxfId="8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3 G25:G56" xr:uid="{B88B4351-1F5C-4236-A7C7-2EF9EBD5F0F9}">
      <formula1>"Pass, Fail, Chưa kiểm tra, Bị chặn"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4FB6-154C-42EC-A3F1-28E5F3463DA9}">
  <sheetPr>
    <tabColor rgb="FFFF0000"/>
  </sheetPr>
  <dimension ref="A1:J45"/>
  <sheetViews>
    <sheetView topLeftCell="A20" zoomScale="63" workbookViewId="0">
      <selection activeCell="I29" sqref="I29:I45"/>
    </sheetView>
  </sheetViews>
  <sheetFormatPr defaultColWidth="9.140625" defaultRowHeight="16.899999999999999"/>
  <cols>
    <col min="1" max="1" width="21.28515625" style="11" bestFit="1" customWidth="1"/>
    <col min="2" max="2" width="47.28515625" style="11" customWidth="1"/>
    <col min="3" max="3" width="34.285156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703125" style="11" bestFit="1" customWidth="1"/>
    <col min="9" max="9" width="22.7109375" style="11" bestFit="1" customWidth="1"/>
    <col min="10" max="10" width="16" style="11" bestFit="1" customWidth="1"/>
    <col min="11" max="16384" width="9.140625" style="11"/>
  </cols>
  <sheetData>
    <row r="1" spans="1:10" s="3" customFormat="1">
      <c r="A1" s="101" t="s">
        <v>36</v>
      </c>
      <c r="B1" s="102" t="s">
        <v>37</v>
      </c>
      <c r="C1" s="102"/>
      <c r="D1" s="102"/>
      <c r="E1" s="102"/>
      <c r="F1" s="102"/>
      <c r="G1" s="1"/>
      <c r="H1" s="2"/>
    </row>
    <row r="2" spans="1:10" s="3" customFormat="1">
      <c r="A2" s="101" t="s">
        <v>38</v>
      </c>
      <c r="B2" s="103" t="s">
        <v>26</v>
      </c>
      <c r="C2" s="103"/>
      <c r="D2" s="103"/>
      <c r="E2" s="103"/>
      <c r="F2" s="103"/>
      <c r="G2" s="1"/>
      <c r="H2" s="2"/>
    </row>
    <row r="3" spans="1:10" s="3" customFormat="1">
      <c r="A3" s="104"/>
      <c r="B3" s="105" t="s">
        <v>10</v>
      </c>
      <c r="C3" s="105" t="s">
        <v>11</v>
      </c>
      <c r="D3" s="105" t="s">
        <v>39</v>
      </c>
      <c r="E3" s="105" t="s">
        <v>40</v>
      </c>
      <c r="F3" s="105" t="s">
        <v>41</v>
      </c>
      <c r="G3" s="1"/>
      <c r="H3" s="2"/>
    </row>
    <row r="4" spans="1:10" s="3" customFormat="1">
      <c r="A4" s="106" t="s">
        <v>42</v>
      </c>
      <c r="B4" s="107">
        <v>31</v>
      </c>
      <c r="C4" s="107">
        <v>0</v>
      </c>
      <c r="D4" s="104">
        <v>0</v>
      </c>
      <c r="E4" s="108">
        <v>0</v>
      </c>
      <c r="F4" s="104">
        <f>SUM(B4:E4)</f>
        <v>31</v>
      </c>
      <c r="G4" s="1"/>
      <c r="H4" s="2"/>
    </row>
    <row r="5" spans="1:10" s="3" customFormat="1">
      <c r="A5" s="106" t="s">
        <v>43</v>
      </c>
      <c r="B5" s="107">
        <v>31</v>
      </c>
      <c r="C5" s="107">
        <v>0</v>
      </c>
      <c r="D5" s="104">
        <v>0</v>
      </c>
      <c r="E5" s="108">
        <v>0</v>
      </c>
      <c r="F5" s="104">
        <f>SUM(B5:E5)</f>
        <v>31</v>
      </c>
      <c r="G5" s="1"/>
      <c r="H5" s="2"/>
    </row>
    <row r="6" spans="1:10" s="3" customFormat="1">
      <c r="A6" s="4"/>
      <c r="B6" s="5"/>
      <c r="E6" s="6"/>
      <c r="G6" s="1"/>
      <c r="H6" s="2"/>
    </row>
    <row r="7" spans="1:10" s="3" customFormat="1" ht="14.45" customHeight="1">
      <c r="A7" s="4"/>
      <c r="B7" s="5"/>
      <c r="E7" s="6"/>
      <c r="G7" s="1"/>
      <c r="H7" s="2"/>
    </row>
    <row r="8" spans="1:10" s="3" customFormat="1">
      <c r="A8" s="109" t="s">
        <v>44</v>
      </c>
      <c r="B8" s="109" t="s">
        <v>45</v>
      </c>
      <c r="C8" s="109" t="s">
        <v>46</v>
      </c>
      <c r="D8" s="109" t="s">
        <v>47</v>
      </c>
      <c r="E8" s="109" t="s">
        <v>48</v>
      </c>
      <c r="F8" s="109" t="s">
        <v>49</v>
      </c>
      <c r="G8" s="109" t="s">
        <v>50</v>
      </c>
      <c r="H8" s="109"/>
      <c r="I8" s="109"/>
      <c r="J8" s="109" t="s">
        <v>51</v>
      </c>
    </row>
    <row r="9" spans="1:10" s="3" customFormat="1">
      <c r="A9" s="109"/>
      <c r="B9" s="109"/>
      <c r="C9" s="109"/>
      <c r="D9" s="109"/>
      <c r="E9" s="109"/>
      <c r="F9" s="109"/>
      <c r="G9" s="109" t="s">
        <v>19</v>
      </c>
      <c r="H9" s="109"/>
      <c r="I9" s="109"/>
      <c r="J9" s="109"/>
    </row>
    <row r="10" spans="1:10" s="3" customFormat="1">
      <c r="A10" s="109"/>
      <c r="B10" s="109"/>
      <c r="C10" s="109"/>
      <c r="D10" s="109"/>
      <c r="E10" s="109"/>
      <c r="F10" s="109"/>
      <c r="G10" s="110" t="s">
        <v>52</v>
      </c>
      <c r="H10" s="111" t="s">
        <v>53</v>
      </c>
      <c r="I10" s="105" t="s">
        <v>54</v>
      </c>
      <c r="J10" s="109"/>
    </row>
    <row r="11" spans="1:10" s="3" customFormat="1">
      <c r="A11" s="85" t="s">
        <v>669</v>
      </c>
      <c r="B11" s="85"/>
      <c r="C11" s="85"/>
      <c r="D11" s="85"/>
      <c r="E11" s="85"/>
      <c r="F11" s="85"/>
      <c r="G11" s="85"/>
      <c r="H11" s="112"/>
      <c r="I11" s="112"/>
      <c r="J11" s="112"/>
    </row>
    <row r="12" spans="1:10" s="3" customFormat="1" ht="84">
      <c r="A12" s="68" t="s">
        <v>670</v>
      </c>
      <c r="B12" s="68" t="s">
        <v>671</v>
      </c>
      <c r="C12" s="68" t="s">
        <v>672</v>
      </c>
      <c r="D12" s="68"/>
      <c r="E12" s="68" t="s">
        <v>673</v>
      </c>
      <c r="F12" s="68" t="s">
        <v>673</v>
      </c>
      <c r="G12" s="12" t="s">
        <v>60</v>
      </c>
      <c r="H12" s="15"/>
      <c r="I12" s="15" t="s">
        <v>244</v>
      </c>
      <c r="J12" s="16"/>
    </row>
    <row r="13" spans="1:10" s="3" customFormat="1" ht="84">
      <c r="A13" s="68" t="s">
        <v>674</v>
      </c>
      <c r="B13" s="68" t="s">
        <v>675</v>
      </c>
      <c r="C13" s="68" t="s">
        <v>676</v>
      </c>
      <c r="D13" s="68"/>
      <c r="E13" s="68" t="s">
        <v>677</v>
      </c>
      <c r="F13" s="68" t="s">
        <v>677</v>
      </c>
      <c r="G13" s="12" t="s">
        <v>60</v>
      </c>
      <c r="H13" s="15"/>
      <c r="I13" s="15" t="s">
        <v>244</v>
      </c>
      <c r="J13" s="16"/>
    </row>
    <row r="14" spans="1:10" s="3" customFormat="1" ht="50.45">
      <c r="A14" s="68" t="s">
        <v>678</v>
      </c>
      <c r="B14" s="68" t="s">
        <v>679</v>
      </c>
      <c r="C14" s="68" t="s">
        <v>680</v>
      </c>
      <c r="D14" s="68" t="s">
        <v>681</v>
      </c>
      <c r="E14" s="68" t="s">
        <v>682</v>
      </c>
      <c r="F14" s="68" t="s">
        <v>682</v>
      </c>
      <c r="G14" s="12" t="s">
        <v>60</v>
      </c>
      <c r="H14" s="15"/>
      <c r="I14" s="15" t="s">
        <v>244</v>
      </c>
      <c r="J14" s="16"/>
    </row>
    <row r="15" spans="1:10" s="3" customFormat="1" ht="33.6">
      <c r="A15" s="68" t="s">
        <v>683</v>
      </c>
      <c r="B15" s="68" t="s">
        <v>684</v>
      </c>
      <c r="C15" s="68" t="s">
        <v>685</v>
      </c>
      <c r="D15" s="68"/>
      <c r="E15" s="68" t="s">
        <v>686</v>
      </c>
      <c r="F15" s="68" t="s">
        <v>686</v>
      </c>
      <c r="G15" s="12" t="s">
        <v>60</v>
      </c>
      <c r="H15" s="15"/>
      <c r="I15" s="15" t="s">
        <v>244</v>
      </c>
      <c r="J15" s="16"/>
    </row>
    <row r="16" spans="1:10" s="3" customFormat="1" ht="33.6">
      <c r="A16" s="68" t="s">
        <v>687</v>
      </c>
      <c r="B16" s="68" t="s">
        <v>688</v>
      </c>
      <c r="C16" s="68" t="s">
        <v>689</v>
      </c>
      <c r="D16" s="68" t="s">
        <v>690</v>
      </c>
      <c r="E16" s="68" t="s">
        <v>691</v>
      </c>
      <c r="F16" s="68" t="s">
        <v>691</v>
      </c>
      <c r="G16" s="12" t="s">
        <v>60</v>
      </c>
      <c r="H16" s="15"/>
      <c r="I16" s="15" t="s">
        <v>244</v>
      </c>
      <c r="J16" s="16"/>
    </row>
    <row r="17" spans="1:10" s="3" customFormat="1" ht="33.6">
      <c r="A17" s="68" t="s">
        <v>692</v>
      </c>
      <c r="B17" s="68" t="s">
        <v>693</v>
      </c>
      <c r="C17" s="68" t="s">
        <v>694</v>
      </c>
      <c r="D17" s="68" t="s">
        <v>695</v>
      </c>
      <c r="E17" s="68" t="s">
        <v>696</v>
      </c>
      <c r="F17" s="68" t="s">
        <v>696</v>
      </c>
      <c r="G17" s="12" t="s">
        <v>60</v>
      </c>
      <c r="H17" s="15"/>
      <c r="I17" s="15" t="s">
        <v>244</v>
      </c>
      <c r="J17" s="16"/>
    </row>
    <row r="18" spans="1:10" s="3" customFormat="1" ht="33.6">
      <c r="A18" s="68" t="s">
        <v>697</v>
      </c>
      <c r="B18" s="68" t="s">
        <v>698</v>
      </c>
      <c r="C18" s="68" t="s">
        <v>699</v>
      </c>
      <c r="D18" s="68" t="s">
        <v>700</v>
      </c>
      <c r="E18" s="68" t="s">
        <v>701</v>
      </c>
      <c r="F18" s="68" t="s">
        <v>701</v>
      </c>
      <c r="G18" s="12"/>
      <c r="H18" s="15"/>
      <c r="I18" s="15" t="s">
        <v>244</v>
      </c>
      <c r="J18" s="16"/>
    </row>
    <row r="19" spans="1:10" s="3" customFormat="1" ht="50.45">
      <c r="A19" s="68" t="s">
        <v>702</v>
      </c>
      <c r="B19" s="68" t="s">
        <v>703</v>
      </c>
      <c r="C19" s="68" t="s">
        <v>704</v>
      </c>
      <c r="D19" s="68" t="s">
        <v>705</v>
      </c>
      <c r="E19" s="68" t="s">
        <v>706</v>
      </c>
      <c r="F19" s="68" t="s">
        <v>706</v>
      </c>
      <c r="G19" s="12"/>
      <c r="H19" s="15"/>
      <c r="I19" s="15" t="s">
        <v>244</v>
      </c>
      <c r="J19" s="16"/>
    </row>
    <row r="20" spans="1:10" s="3" customFormat="1" ht="33.6">
      <c r="A20" s="68" t="s">
        <v>707</v>
      </c>
      <c r="B20" s="68" t="s">
        <v>708</v>
      </c>
      <c r="C20" s="68" t="s">
        <v>709</v>
      </c>
      <c r="D20" s="68" t="s">
        <v>710</v>
      </c>
      <c r="E20" s="68" t="s">
        <v>711</v>
      </c>
      <c r="F20" s="68" t="s">
        <v>711</v>
      </c>
      <c r="G20" s="12"/>
      <c r="H20" s="15"/>
      <c r="I20" s="15" t="s">
        <v>244</v>
      </c>
      <c r="J20" s="16"/>
    </row>
    <row r="21" spans="1:10" s="3" customFormat="1" ht="50.45">
      <c r="A21" s="68" t="s">
        <v>712</v>
      </c>
      <c r="B21" s="68" t="s">
        <v>713</v>
      </c>
      <c r="C21" s="68" t="s">
        <v>714</v>
      </c>
      <c r="D21" s="68"/>
      <c r="E21" s="68" t="s">
        <v>715</v>
      </c>
      <c r="F21" s="68" t="s">
        <v>715</v>
      </c>
      <c r="G21" s="12"/>
      <c r="H21" s="15"/>
      <c r="I21" s="15" t="s">
        <v>244</v>
      </c>
      <c r="J21" s="16"/>
    </row>
    <row r="22" spans="1:10" s="3" customFormat="1" ht="33.6">
      <c r="A22" s="68" t="s">
        <v>716</v>
      </c>
      <c r="B22" s="68" t="s">
        <v>717</v>
      </c>
      <c r="C22" s="68" t="s">
        <v>718</v>
      </c>
      <c r="D22" s="68" t="s">
        <v>719</v>
      </c>
      <c r="E22" s="68" t="s">
        <v>720</v>
      </c>
      <c r="F22" s="68" t="s">
        <v>720</v>
      </c>
      <c r="G22" s="12"/>
      <c r="H22" s="15"/>
      <c r="I22" s="15" t="s">
        <v>244</v>
      </c>
      <c r="J22" s="16"/>
    </row>
    <row r="23" spans="1:10" s="3" customFormat="1" ht="50.45">
      <c r="A23" s="68" t="s">
        <v>721</v>
      </c>
      <c r="B23" s="68" t="s">
        <v>722</v>
      </c>
      <c r="C23" s="68" t="s">
        <v>723</v>
      </c>
      <c r="D23" s="68" t="s">
        <v>724</v>
      </c>
      <c r="E23" s="68" t="s">
        <v>725</v>
      </c>
      <c r="F23" s="68" t="s">
        <v>725</v>
      </c>
      <c r="G23" s="12"/>
      <c r="H23" s="15"/>
      <c r="I23" s="15" t="s">
        <v>244</v>
      </c>
      <c r="J23" s="16"/>
    </row>
    <row r="24" spans="1:10" s="3" customFormat="1" ht="50.45">
      <c r="A24" s="68" t="s">
        <v>726</v>
      </c>
      <c r="B24" s="68" t="s">
        <v>727</v>
      </c>
      <c r="C24" s="68" t="s">
        <v>728</v>
      </c>
      <c r="D24" s="68"/>
      <c r="E24" s="68" t="s">
        <v>729</v>
      </c>
      <c r="F24" s="68" t="s">
        <v>729</v>
      </c>
      <c r="G24" s="12"/>
      <c r="H24" s="15"/>
      <c r="I24" s="15" t="s">
        <v>244</v>
      </c>
      <c r="J24" s="16"/>
    </row>
    <row r="25" spans="1:10" s="3" customFormat="1" ht="50.45">
      <c r="A25" s="68" t="s">
        <v>730</v>
      </c>
      <c r="B25" s="68" t="s">
        <v>731</v>
      </c>
      <c r="C25" s="68" t="s">
        <v>732</v>
      </c>
      <c r="D25" s="68" t="s">
        <v>733</v>
      </c>
      <c r="E25" s="68" t="s">
        <v>734</v>
      </c>
      <c r="F25" s="68" t="s">
        <v>734</v>
      </c>
      <c r="G25" s="12" t="s">
        <v>60</v>
      </c>
      <c r="H25" s="15"/>
      <c r="I25" s="15" t="s">
        <v>244</v>
      </c>
      <c r="J25" s="16"/>
    </row>
    <row r="26" spans="1:10" s="3" customFormat="1" ht="33.6">
      <c r="A26" s="68" t="s">
        <v>735</v>
      </c>
      <c r="B26" s="68" t="s">
        <v>736</v>
      </c>
      <c r="C26" s="68" t="s">
        <v>732</v>
      </c>
      <c r="D26" s="68" t="s">
        <v>737</v>
      </c>
      <c r="E26" s="68" t="s">
        <v>738</v>
      </c>
      <c r="F26" s="68" t="s">
        <v>738</v>
      </c>
      <c r="G26" s="12" t="s">
        <v>60</v>
      </c>
      <c r="H26" s="15"/>
      <c r="I26" s="15" t="s">
        <v>244</v>
      </c>
      <c r="J26" s="16"/>
    </row>
    <row r="27" spans="1:10" s="3" customFormat="1" ht="50.45">
      <c r="A27" s="68" t="s">
        <v>739</v>
      </c>
      <c r="B27" s="68" t="s">
        <v>740</v>
      </c>
      <c r="C27" s="68" t="s">
        <v>741</v>
      </c>
      <c r="D27" s="68" t="s">
        <v>742</v>
      </c>
      <c r="E27" s="68" t="s">
        <v>743</v>
      </c>
      <c r="F27" s="68" t="s">
        <v>743</v>
      </c>
      <c r="G27" s="12" t="s">
        <v>60</v>
      </c>
      <c r="H27" s="15"/>
      <c r="I27" s="15" t="s">
        <v>244</v>
      </c>
      <c r="J27" s="16"/>
    </row>
    <row r="28" spans="1:10" s="3" customFormat="1">
      <c r="A28" s="86" t="s">
        <v>744</v>
      </c>
      <c r="B28" s="86"/>
      <c r="C28" s="86"/>
      <c r="D28" s="86"/>
      <c r="E28" s="86"/>
      <c r="F28" s="86"/>
      <c r="G28" s="86"/>
      <c r="H28" s="113"/>
      <c r="I28" s="113"/>
      <c r="J28" s="113"/>
    </row>
    <row r="29" spans="1:10" s="3" customFormat="1" ht="33.6">
      <c r="A29" s="68" t="s">
        <v>745</v>
      </c>
      <c r="B29" s="68" t="s">
        <v>746</v>
      </c>
      <c r="C29" s="68" t="s">
        <v>747</v>
      </c>
      <c r="D29" s="68" t="s">
        <v>748</v>
      </c>
      <c r="E29" s="68" t="s">
        <v>749</v>
      </c>
      <c r="F29" s="68" t="s">
        <v>749</v>
      </c>
      <c r="G29" s="12" t="s">
        <v>60</v>
      </c>
      <c r="H29" s="15"/>
      <c r="I29" s="15" t="s">
        <v>244</v>
      </c>
      <c r="J29" s="16"/>
    </row>
    <row r="30" spans="1:10" s="3" customFormat="1" ht="50.45">
      <c r="A30" s="68" t="s">
        <v>750</v>
      </c>
      <c r="B30" s="68" t="s">
        <v>751</v>
      </c>
      <c r="C30" s="68" t="s">
        <v>752</v>
      </c>
      <c r="D30" s="68" t="s">
        <v>753</v>
      </c>
      <c r="E30" s="68" t="s">
        <v>754</v>
      </c>
      <c r="F30" s="68" t="s">
        <v>754</v>
      </c>
      <c r="G30" s="12" t="s">
        <v>60</v>
      </c>
      <c r="H30" s="15"/>
      <c r="I30" s="15" t="s">
        <v>244</v>
      </c>
      <c r="J30" s="16"/>
    </row>
    <row r="31" spans="1:10" s="3" customFormat="1" ht="84">
      <c r="A31" s="68" t="s">
        <v>755</v>
      </c>
      <c r="B31" s="68" t="s">
        <v>756</v>
      </c>
      <c r="C31" s="68" t="s">
        <v>757</v>
      </c>
      <c r="D31" s="68" t="s">
        <v>758</v>
      </c>
      <c r="E31" s="68" t="s">
        <v>759</v>
      </c>
      <c r="F31" s="68" t="s">
        <v>759</v>
      </c>
      <c r="G31" s="12" t="s">
        <v>60</v>
      </c>
      <c r="H31" s="15"/>
      <c r="I31" s="15" t="s">
        <v>244</v>
      </c>
      <c r="J31" s="16"/>
    </row>
    <row r="32" spans="1:10" s="3" customFormat="1" ht="50.45">
      <c r="A32" s="68" t="s">
        <v>760</v>
      </c>
      <c r="B32" s="68" t="s">
        <v>761</v>
      </c>
      <c r="C32" s="68" t="s">
        <v>762</v>
      </c>
      <c r="D32" s="68" t="s">
        <v>763</v>
      </c>
      <c r="E32" s="68" t="s">
        <v>764</v>
      </c>
      <c r="F32" s="68" t="s">
        <v>764</v>
      </c>
      <c r="G32" s="12" t="s">
        <v>60</v>
      </c>
      <c r="H32" s="15"/>
      <c r="I32" s="15" t="s">
        <v>244</v>
      </c>
      <c r="J32" s="16"/>
    </row>
    <row r="33" spans="1:10" s="3" customFormat="1" ht="33.6">
      <c r="A33" s="68" t="s">
        <v>765</v>
      </c>
      <c r="B33" s="68" t="s">
        <v>766</v>
      </c>
      <c r="C33" s="68" t="s">
        <v>767</v>
      </c>
      <c r="D33" s="68"/>
      <c r="E33" s="68" t="s">
        <v>768</v>
      </c>
      <c r="F33" s="68" t="s">
        <v>768</v>
      </c>
      <c r="G33" s="12" t="s">
        <v>60</v>
      </c>
      <c r="H33" s="15"/>
      <c r="I33" s="15" t="s">
        <v>244</v>
      </c>
      <c r="J33" s="16"/>
    </row>
    <row r="34" spans="1:10" s="3" customFormat="1" ht="67.150000000000006">
      <c r="A34" s="68" t="s">
        <v>769</v>
      </c>
      <c r="B34" s="68" t="s">
        <v>770</v>
      </c>
      <c r="C34" s="68" t="s">
        <v>771</v>
      </c>
      <c r="D34" s="68"/>
      <c r="E34" s="68" t="s">
        <v>772</v>
      </c>
      <c r="F34" s="68" t="s">
        <v>772</v>
      </c>
      <c r="G34" s="12" t="s">
        <v>60</v>
      </c>
      <c r="H34" s="15"/>
      <c r="I34" s="15" t="s">
        <v>244</v>
      </c>
      <c r="J34" s="16"/>
    </row>
    <row r="35" spans="1:10" s="3" customFormat="1" ht="50.45">
      <c r="A35" s="68" t="s">
        <v>773</v>
      </c>
      <c r="B35" s="68" t="s">
        <v>774</v>
      </c>
      <c r="C35" s="68" t="s">
        <v>775</v>
      </c>
      <c r="D35" s="68"/>
      <c r="E35" s="68" t="s">
        <v>776</v>
      </c>
      <c r="F35" s="68" t="s">
        <v>776</v>
      </c>
      <c r="G35" s="12" t="s">
        <v>60</v>
      </c>
      <c r="H35" s="15"/>
      <c r="I35" s="15" t="s">
        <v>244</v>
      </c>
      <c r="J35" s="16"/>
    </row>
    <row r="36" spans="1:10" s="3" customFormat="1" ht="33.6">
      <c r="A36" s="68" t="s">
        <v>777</v>
      </c>
      <c r="B36" s="68" t="s">
        <v>778</v>
      </c>
      <c r="C36" s="68" t="s">
        <v>779</v>
      </c>
      <c r="D36" s="68"/>
      <c r="E36" s="68" t="s">
        <v>780</v>
      </c>
      <c r="F36" s="68" t="s">
        <v>780</v>
      </c>
      <c r="G36" s="12" t="s">
        <v>60</v>
      </c>
      <c r="H36" s="15"/>
      <c r="I36" s="15" t="s">
        <v>244</v>
      </c>
      <c r="J36" s="16"/>
    </row>
    <row r="37" spans="1:10" s="3" customFormat="1">
      <c r="A37" s="83" t="s">
        <v>781</v>
      </c>
      <c r="B37" s="83" t="s">
        <v>782</v>
      </c>
      <c r="C37" s="83" t="s">
        <v>783</v>
      </c>
      <c r="D37" s="83"/>
      <c r="E37" s="68" t="s">
        <v>784</v>
      </c>
      <c r="F37" s="68" t="s">
        <v>784</v>
      </c>
      <c r="G37" s="12" t="s">
        <v>60</v>
      </c>
      <c r="H37" s="15"/>
      <c r="I37" s="15" t="s">
        <v>244</v>
      </c>
      <c r="J37" s="16"/>
    </row>
    <row r="38" spans="1:10">
      <c r="A38" s="83"/>
      <c r="B38" s="83"/>
      <c r="C38" s="83"/>
      <c r="D38" s="83"/>
      <c r="E38" s="68" t="s">
        <v>785</v>
      </c>
      <c r="F38" s="68" t="s">
        <v>785</v>
      </c>
      <c r="G38" s="12" t="s">
        <v>60</v>
      </c>
      <c r="H38" s="15"/>
      <c r="I38" s="15" t="s">
        <v>244</v>
      </c>
      <c r="J38" s="16"/>
    </row>
    <row r="39" spans="1:10" ht="67.150000000000006">
      <c r="A39" s="68" t="s">
        <v>786</v>
      </c>
      <c r="B39" s="68" t="s">
        <v>787</v>
      </c>
      <c r="C39" s="68" t="s">
        <v>788</v>
      </c>
      <c r="D39" s="68" t="s">
        <v>789</v>
      </c>
      <c r="E39" s="68" t="s">
        <v>790</v>
      </c>
      <c r="F39" s="68" t="s">
        <v>790</v>
      </c>
      <c r="G39" s="12" t="s">
        <v>60</v>
      </c>
      <c r="H39" s="15"/>
      <c r="I39" s="15" t="s">
        <v>244</v>
      </c>
      <c r="J39" s="16"/>
    </row>
    <row r="40" spans="1:10" ht="67.150000000000006">
      <c r="A40" s="68" t="s">
        <v>791</v>
      </c>
      <c r="B40" s="68" t="s">
        <v>792</v>
      </c>
      <c r="C40" s="68" t="s">
        <v>793</v>
      </c>
      <c r="D40" s="68" t="s">
        <v>794</v>
      </c>
      <c r="E40" s="68" t="s">
        <v>795</v>
      </c>
      <c r="F40" s="68" t="s">
        <v>795</v>
      </c>
      <c r="G40" s="12" t="s">
        <v>60</v>
      </c>
      <c r="H40" s="15"/>
      <c r="I40" s="15" t="s">
        <v>244</v>
      </c>
      <c r="J40" s="16"/>
    </row>
    <row r="41" spans="1:10" ht="50.45">
      <c r="A41" s="68" t="s">
        <v>796</v>
      </c>
      <c r="B41" s="68" t="s">
        <v>797</v>
      </c>
      <c r="C41" s="68" t="s">
        <v>798</v>
      </c>
      <c r="D41" s="68" t="s">
        <v>799</v>
      </c>
      <c r="E41" s="68" t="s">
        <v>800</v>
      </c>
      <c r="F41" s="68" t="s">
        <v>800</v>
      </c>
      <c r="G41" s="12" t="s">
        <v>60</v>
      </c>
      <c r="H41" s="15"/>
      <c r="I41" s="15" t="s">
        <v>244</v>
      </c>
      <c r="J41" s="16"/>
    </row>
    <row r="42" spans="1:10" ht="50.45">
      <c r="A42" s="89" t="s">
        <v>801</v>
      </c>
      <c r="B42" s="89" t="s">
        <v>802</v>
      </c>
      <c r="C42" s="89" t="s">
        <v>803</v>
      </c>
      <c r="D42" s="89" t="s">
        <v>804</v>
      </c>
      <c r="E42" s="68" t="s">
        <v>805</v>
      </c>
      <c r="F42" s="68" t="s">
        <v>805</v>
      </c>
      <c r="G42" s="12" t="s">
        <v>60</v>
      </c>
      <c r="H42" s="15"/>
      <c r="I42" s="15" t="s">
        <v>244</v>
      </c>
      <c r="J42" s="16"/>
    </row>
    <row r="43" spans="1:10" ht="33.6">
      <c r="A43" s="90"/>
      <c r="B43" s="90"/>
      <c r="C43" s="90"/>
      <c r="D43" s="90"/>
      <c r="E43" s="68" t="s">
        <v>806</v>
      </c>
      <c r="F43" s="68" t="s">
        <v>806</v>
      </c>
      <c r="G43" s="12" t="s">
        <v>60</v>
      </c>
      <c r="H43" s="15"/>
      <c r="I43" s="15" t="s">
        <v>244</v>
      </c>
      <c r="J43" s="16"/>
    </row>
    <row r="44" spans="1:10" ht="67.150000000000006">
      <c r="A44" s="68" t="s">
        <v>807</v>
      </c>
      <c r="B44" s="68" t="s">
        <v>808</v>
      </c>
      <c r="C44" s="68" t="s">
        <v>809</v>
      </c>
      <c r="D44" s="68" t="s">
        <v>810</v>
      </c>
      <c r="E44" s="68" t="s">
        <v>811</v>
      </c>
      <c r="F44" s="68" t="s">
        <v>811</v>
      </c>
      <c r="G44" s="12" t="s">
        <v>60</v>
      </c>
      <c r="H44" s="15"/>
      <c r="I44" s="15" t="s">
        <v>244</v>
      </c>
      <c r="J44" s="16"/>
    </row>
    <row r="45" spans="1:10" ht="84">
      <c r="A45" s="68" t="s">
        <v>812</v>
      </c>
      <c r="B45" s="68" t="s">
        <v>813</v>
      </c>
      <c r="C45" s="68" t="s">
        <v>814</v>
      </c>
      <c r="D45" s="68" t="s">
        <v>815</v>
      </c>
      <c r="E45" s="68" t="s">
        <v>816</v>
      </c>
      <c r="F45" s="68" t="s">
        <v>816</v>
      </c>
      <c r="G45" s="12" t="s">
        <v>60</v>
      </c>
      <c r="H45" s="15"/>
      <c r="I45" s="15" t="s">
        <v>244</v>
      </c>
      <c r="J45" s="16"/>
    </row>
  </sheetData>
  <mergeCells count="21">
    <mergeCell ref="A42:A43"/>
    <mergeCell ref="B42:B43"/>
    <mergeCell ref="C42:C43"/>
    <mergeCell ref="D42:D43"/>
    <mergeCell ref="A37:A38"/>
    <mergeCell ref="B37:B38"/>
    <mergeCell ref="C37:C38"/>
    <mergeCell ref="D37:D38"/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8:J28"/>
  </mergeCells>
  <phoneticPr fontId="10" type="noConversion"/>
  <conditionalFormatting sqref="G12:G27 G29:G45">
    <cfRule type="containsText" dxfId="7" priority="1" operator="containsText" text="Hoàn thành">
      <formula>NOT(ISERROR(SEARCH("Hoàn thành",G12)))</formula>
    </cfRule>
    <cfRule type="containsText" dxfId="6" priority="2" operator="containsText" text="Lỗi">
      <formula>NOT(ISERROR(SEARCH("Lỗi",G12)))</formula>
    </cfRule>
    <cfRule type="containsText" dxfId="5" priority="3" operator="containsText" text="Hoàn thành">
      <formula>NOT(ISERROR(SEARCH("Hoàn thành",G12)))</formula>
    </cfRule>
    <cfRule type="containsText" dxfId="4" priority="4" operator="containsText" text="Hoàn thành">
      <formula>NOT(ISERROR(SEARCH("Hoàn thành",G12)))</formula>
    </cfRule>
  </conditionalFormatting>
  <dataValidations count="1">
    <dataValidation type="list" allowBlank="1" showInputMessage="1" showErrorMessage="1" sqref="G12:G27 G29:G45" xr:uid="{ACB85428-9010-45CA-AB64-4B905C3EBC1D}">
      <formula1>"Pass, Fail, Chưa kiểm tra, Bị chặn"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FACA-AFFF-4144-8862-4055FFEE2503}">
  <sheetPr>
    <tabColor rgb="FFFF0000"/>
  </sheetPr>
  <dimension ref="A1"/>
  <sheetViews>
    <sheetView workbookViewId="0">
      <selection activeCell="D13" sqref="D13"/>
    </sheetView>
  </sheetViews>
  <sheetFormatPr defaultRowHeight="14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479B-888C-445B-8571-567AA4257F2B}">
  <sheetPr>
    <tabColor theme="9"/>
  </sheetPr>
  <dimension ref="A1:J37"/>
  <sheetViews>
    <sheetView workbookViewId="0">
      <selection activeCell="B22" sqref="B22"/>
    </sheetView>
  </sheetViews>
  <sheetFormatPr defaultColWidth="9.140625" defaultRowHeight="16.899999999999999"/>
  <cols>
    <col min="1" max="1" width="21.28515625" style="11" bestFit="1" customWidth="1"/>
    <col min="2" max="2" width="47.28515625" style="11" customWidth="1"/>
    <col min="3" max="3" width="34.285156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703125" style="11" bestFit="1" customWidth="1"/>
    <col min="9" max="9" width="22.7109375" style="11" bestFit="1" customWidth="1"/>
    <col min="10" max="10" width="16" style="11" bestFit="1" customWidth="1"/>
    <col min="11" max="16384" width="9.140625" style="11"/>
  </cols>
  <sheetData>
    <row r="1" spans="1:10" s="3" customFormat="1">
      <c r="A1" s="101" t="s">
        <v>36</v>
      </c>
      <c r="B1" s="102" t="s">
        <v>37</v>
      </c>
      <c r="C1" s="102"/>
      <c r="D1" s="102"/>
      <c r="E1" s="102"/>
      <c r="F1" s="102"/>
      <c r="G1" s="1"/>
      <c r="H1" s="2"/>
    </row>
    <row r="2" spans="1:10" s="3" customFormat="1">
      <c r="A2" s="101" t="s">
        <v>38</v>
      </c>
      <c r="B2" s="103" t="s">
        <v>21</v>
      </c>
      <c r="C2" s="103"/>
      <c r="D2" s="103"/>
      <c r="E2" s="103"/>
      <c r="F2" s="103"/>
      <c r="G2" s="1"/>
      <c r="H2" s="2"/>
    </row>
    <row r="3" spans="1:10" s="3" customFormat="1">
      <c r="A3" s="104"/>
      <c r="B3" s="105" t="s">
        <v>10</v>
      </c>
      <c r="C3" s="105" t="s">
        <v>11</v>
      </c>
      <c r="D3" s="105" t="s">
        <v>39</v>
      </c>
      <c r="E3" s="105" t="s">
        <v>40</v>
      </c>
      <c r="F3" s="105" t="s">
        <v>41</v>
      </c>
      <c r="G3" s="1"/>
      <c r="H3" s="2"/>
    </row>
    <row r="4" spans="1:10" s="3" customFormat="1">
      <c r="A4" s="106" t="s">
        <v>42</v>
      </c>
      <c r="B4" s="107"/>
      <c r="C4" s="107">
        <v>0</v>
      </c>
      <c r="D4" s="104">
        <v>0</v>
      </c>
      <c r="E4" s="108">
        <v>0</v>
      </c>
      <c r="F4" s="104">
        <f>SUM(B4:E4)</f>
        <v>0</v>
      </c>
      <c r="G4" s="1"/>
      <c r="H4" s="2"/>
    </row>
    <row r="5" spans="1:10" s="3" customFormat="1">
      <c r="A5" s="106" t="s">
        <v>43</v>
      </c>
      <c r="B5" s="107"/>
      <c r="C5" s="107">
        <v>0</v>
      </c>
      <c r="D5" s="104">
        <v>0</v>
      </c>
      <c r="E5" s="108">
        <v>0</v>
      </c>
      <c r="F5" s="104">
        <f>SUM(B5:E5)</f>
        <v>0</v>
      </c>
      <c r="G5" s="1"/>
      <c r="H5" s="2"/>
    </row>
    <row r="6" spans="1:10" s="3" customFormat="1">
      <c r="A6" s="4"/>
      <c r="B6" s="5"/>
      <c r="E6" s="6"/>
      <c r="G6" s="1"/>
      <c r="H6" s="2"/>
    </row>
    <row r="7" spans="1:10" s="3" customFormat="1" ht="14.45" customHeight="1">
      <c r="A7" s="4"/>
      <c r="B7" s="5"/>
      <c r="E7" s="6"/>
      <c r="G7" s="1"/>
      <c r="H7" s="2"/>
    </row>
    <row r="8" spans="1:10" s="3" customFormat="1">
      <c r="A8" s="109" t="s">
        <v>44</v>
      </c>
      <c r="B8" s="109" t="s">
        <v>45</v>
      </c>
      <c r="C8" s="109" t="s">
        <v>46</v>
      </c>
      <c r="D8" s="109" t="s">
        <v>47</v>
      </c>
      <c r="E8" s="109" t="s">
        <v>48</v>
      </c>
      <c r="F8" s="109" t="s">
        <v>49</v>
      </c>
      <c r="G8" s="109" t="s">
        <v>50</v>
      </c>
      <c r="H8" s="109"/>
      <c r="I8" s="109"/>
      <c r="J8" s="109" t="s">
        <v>51</v>
      </c>
    </row>
    <row r="9" spans="1:10" s="3" customFormat="1">
      <c r="A9" s="109"/>
      <c r="B9" s="109"/>
      <c r="C9" s="109"/>
      <c r="D9" s="109"/>
      <c r="E9" s="109"/>
      <c r="F9" s="109"/>
      <c r="G9" s="109" t="s">
        <v>19</v>
      </c>
      <c r="H9" s="109"/>
      <c r="I9" s="109"/>
      <c r="J9" s="109"/>
    </row>
    <row r="10" spans="1:10" s="3" customFormat="1">
      <c r="A10" s="109"/>
      <c r="B10" s="109"/>
      <c r="C10" s="109"/>
      <c r="D10" s="109"/>
      <c r="E10" s="109"/>
      <c r="F10" s="109"/>
      <c r="G10" s="110" t="s">
        <v>52</v>
      </c>
      <c r="H10" s="111" t="s">
        <v>53</v>
      </c>
      <c r="I10" s="105" t="s">
        <v>54</v>
      </c>
      <c r="J10" s="109"/>
    </row>
    <row r="11" spans="1:10" s="3" customFormat="1">
      <c r="A11" s="85" t="s">
        <v>55</v>
      </c>
      <c r="B11" s="85"/>
      <c r="C11" s="85"/>
      <c r="D11" s="85"/>
      <c r="E11" s="85"/>
      <c r="F11" s="85"/>
      <c r="G11" s="85"/>
      <c r="H11" s="112"/>
      <c r="I11" s="112"/>
      <c r="J11" s="112"/>
    </row>
    <row r="12" spans="1:10" s="3" customFormat="1">
      <c r="A12" s="114" t="s">
        <v>817</v>
      </c>
      <c r="B12" s="115" t="s">
        <v>818</v>
      </c>
      <c r="C12" s="114"/>
      <c r="D12" s="114"/>
      <c r="E12" s="114" t="s">
        <v>819</v>
      </c>
      <c r="F12" s="114" t="s">
        <v>820</v>
      </c>
      <c r="G12" s="14" t="s">
        <v>60</v>
      </c>
      <c r="H12" s="15"/>
      <c r="I12" s="15"/>
      <c r="J12" s="16"/>
    </row>
    <row r="13" spans="1:10" s="3" customFormat="1">
      <c r="A13" s="114" t="s">
        <v>821</v>
      </c>
      <c r="B13" s="115" t="s">
        <v>822</v>
      </c>
      <c r="C13" s="114"/>
      <c r="D13" s="114"/>
      <c r="E13" s="114" t="s">
        <v>823</v>
      </c>
      <c r="F13" s="114" t="s">
        <v>823</v>
      </c>
      <c r="G13" s="14" t="s">
        <v>60</v>
      </c>
      <c r="H13" s="15"/>
      <c r="I13" s="15"/>
      <c r="J13" s="16"/>
    </row>
    <row r="14" spans="1:10" s="3" customFormat="1">
      <c r="A14" s="114" t="s">
        <v>824</v>
      </c>
      <c r="B14" s="115" t="s">
        <v>825</v>
      </c>
      <c r="C14" s="114"/>
      <c r="D14" s="114"/>
      <c r="E14" s="114" t="s">
        <v>826</v>
      </c>
      <c r="F14" s="114" t="s">
        <v>826</v>
      </c>
      <c r="G14" s="14" t="s">
        <v>60</v>
      </c>
      <c r="H14" s="15"/>
      <c r="I14" s="15"/>
      <c r="J14" s="16"/>
    </row>
    <row r="15" spans="1:10" s="3" customFormat="1">
      <c r="A15" s="114" t="s">
        <v>827</v>
      </c>
      <c r="B15" s="115" t="s">
        <v>828</v>
      </c>
      <c r="C15" s="114"/>
      <c r="D15" s="114"/>
      <c r="E15" s="114" t="s">
        <v>826</v>
      </c>
      <c r="F15" s="114" t="s">
        <v>826</v>
      </c>
      <c r="G15" s="14" t="s">
        <v>60</v>
      </c>
      <c r="H15" s="15"/>
      <c r="I15" s="15"/>
      <c r="J15" s="16"/>
    </row>
    <row r="16" spans="1:10" s="3" customFormat="1" ht="33.6">
      <c r="A16" s="114" t="s">
        <v>829</v>
      </c>
      <c r="B16" s="115" t="s">
        <v>830</v>
      </c>
      <c r="C16" s="114"/>
      <c r="D16" s="114"/>
      <c r="E16" s="114" t="s">
        <v>831</v>
      </c>
      <c r="F16" s="114" t="s">
        <v>831</v>
      </c>
      <c r="G16" s="14" t="s">
        <v>60</v>
      </c>
      <c r="H16" s="15"/>
      <c r="I16" s="15"/>
      <c r="J16" s="16"/>
    </row>
    <row r="17" spans="1:10" s="3" customFormat="1">
      <c r="A17" s="114" t="s">
        <v>832</v>
      </c>
      <c r="B17" s="115" t="s">
        <v>833</v>
      </c>
      <c r="C17" s="114"/>
      <c r="D17" s="114"/>
      <c r="E17" s="114" t="s">
        <v>826</v>
      </c>
      <c r="F17" s="114" t="s">
        <v>826</v>
      </c>
      <c r="G17" s="14" t="s">
        <v>60</v>
      </c>
      <c r="H17" s="15"/>
      <c r="I17" s="15"/>
      <c r="J17" s="16"/>
    </row>
    <row r="18" spans="1:10" s="3" customFormat="1">
      <c r="A18" s="114" t="s">
        <v>834</v>
      </c>
      <c r="B18" s="115" t="s">
        <v>835</v>
      </c>
      <c r="C18" s="114"/>
      <c r="D18" s="114"/>
      <c r="E18" s="114" t="s">
        <v>820</v>
      </c>
      <c r="F18" s="114" t="s">
        <v>820</v>
      </c>
      <c r="G18" s="14" t="s">
        <v>60</v>
      </c>
      <c r="H18" s="15"/>
      <c r="I18" s="15"/>
      <c r="J18" s="16"/>
    </row>
    <row r="19" spans="1:10" s="3" customFormat="1" ht="50.45">
      <c r="A19" s="114" t="s">
        <v>836</v>
      </c>
      <c r="B19" s="115" t="s">
        <v>837</v>
      </c>
      <c r="C19" s="114"/>
      <c r="D19" s="114"/>
      <c r="E19" s="114" t="s">
        <v>838</v>
      </c>
      <c r="F19" s="114" t="s">
        <v>839</v>
      </c>
      <c r="G19" s="14" t="s">
        <v>60</v>
      </c>
      <c r="H19" s="15"/>
      <c r="I19" s="15"/>
      <c r="J19" s="16"/>
    </row>
    <row r="20" spans="1:10" s="3" customFormat="1" ht="33.6">
      <c r="A20" s="114" t="s">
        <v>840</v>
      </c>
      <c r="B20" s="115" t="s">
        <v>841</v>
      </c>
      <c r="C20" s="114"/>
      <c r="D20" s="114"/>
      <c r="E20" s="114" t="s">
        <v>842</v>
      </c>
      <c r="F20" s="114" t="s">
        <v>842</v>
      </c>
      <c r="G20" s="14" t="s">
        <v>60</v>
      </c>
      <c r="H20" s="15"/>
      <c r="I20" s="15"/>
      <c r="J20" s="16"/>
    </row>
    <row r="21" spans="1:10" s="3" customFormat="1" ht="33.6">
      <c r="A21" s="114" t="s">
        <v>843</v>
      </c>
      <c r="B21" s="114" t="s">
        <v>844</v>
      </c>
      <c r="C21" s="114"/>
      <c r="D21" s="114"/>
      <c r="E21" s="114" t="s">
        <v>845</v>
      </c>
      <c r="F21" s="114" t="s">
        <v>845</v>
      </c>
      <c r="G21" s="14" t="s">
        <v>60</v>
      </c>
      <c r="H21" s="15"/>
      <c r="I21" s="15"/>
      <c r="J21" s="16"/>
    </row>
    <row r="22" spans="1:10" s="3" customFormat="1" ht="33.6">
      <c r="A22" s="114" t="s">
        <v>846</v>
      </c>
      <c r="B22" s="115" t="s">
        <v>847</v>
      </c>
      <c r="C22" s="114"/>
      <c r="D22" s="114"/>
      <c r="E22" s="114" t="s">
        <v>848</v>
      </c>
      <c r="F22" s="114" t="s">
        <v>848</v>
      </c>
      <c r="G22" s="14" t="s">
        <v>60</v>
      </c>
      <c r="H22" s="15"/>
      <c r="I22" s="15"/>
      <c r="J22" s="16"/>
    </row>
    <row r="23" spans="1:10" s="3" customFormat="1">
      <c r="A23" s="114" t="s">
        <v>849</v>
      </c>
      <c r="B23" s="115" t="s">
        <v>850</v>
      </c>
      <c r="C23" s="114"/>
      <c r="D23" s="114"/>
      <c r="E23" s="114" t="s">
        <v>820</v>
      </c>
      <c r="F23" s="114" t="s">
        <v>820</v>
      </c>
      <c r="G23" s="14" t="s">
        <v>60</v>
      </c>
      <c r="H23" s="15"/>
      <c r="I23" s="15"/>
      <c r="J23" s="16"/>
    </row>
    <row r="24" spans="1:10" s="3" customFormat="1" ht="33.6">
      <c r="A24" s="114" t="s">
        <v>851</v>
      </c>
      <c r="B24" s="115" t="s">
        <v>852</v>
      </c>
      <c r="C24" s="114"/>
      <c r="D24" s="114"/>
      <c r="E24" s="114" t="s">
        <v>853</v>
      </c>
      <c r="F24" s="114" t="s">
        <v>853</v>
      </c>
      <c r="G24" s="14" t="s">
        <v>60</v>
      </c>
      <c r="H24" s="15"/>
      <c r="I24" s="15"/>
      <c r="J24" s="16"/>
    </row>
    <row r="25" spans="1:10" s="3" customFormat="1">
      <c r="A25" s="86" t="s">
        <v>88</v>
      </c>
      <c r="B25" s="86"/>
      <c r="C25" s="86"/>
      <c r="D25" s="86"/>
      <c r="E25" s="86"/>
      <c r="F25" s="86"/>
      <c r="G25" s="86"/>
      <c r="H25" s="113"/>
      <c r="I25" s="113"/>
      <c r="J25" s="113"/>
    </row>
    <row r="26" spans="1:10" s="3" customFormat="1" ht="50.45">
      <c r="A26" s="114" t="s">
        <v>854</v>
      </c>
      <c r="B26" s="114" t="s">
        <v>855</v>
      </c>
      <c r="C26" s="114" t="s">
        <v>856</v>
      </c>
      <c r="D26" s="114" t="s">
        <v>857</v>
      </c>
      <c r="E26" s="114" t="s">
        <v>858</v>
      </c>
      <c r="F26" s="114" t="s">
        <v>858</v>
      </c>
      <c r="G26" s="14" t="s">
        <v>60</v>
      </c>
      <c r="H26" s="15"/>
      <c r="I26" s="15"/>
      <c r="J26" s="16"/>
    </row>
    <row r="27" spans="1:10" s="3" customFormat="1" ht="50.45">
      <c r="A27" s="114" t="s">
        <v>859</v>
      </c>
      <c r="B27" s="114" t="s">
        <v>860</v>
      </c>
      <c r="C27" s="114" t="s">
        <v>861</v>
      </c>
      <c r="D27" s="114" t="s">
        <v>857</v>
      </c>
      <c r="E27" s="114" t="s">
        <v>862</v>
      </c>
      <c r="F27" s="114" t="s">
        <v>862</v>
      </c>
      <c r="G27" s="14" t="s">
        <v>60</v>
      </c>
      <c r="H27" s="15"/>
      <c r="I27" s="15"/>
      <c r="J27" s="16"/>
    </row>
    <row r="28" spans="1:10" s="3" customFormat="1" ht="67.150000000000006">
      <c r="A28" s="114" t="s">
        <v>863</v>
      </c>
      <c r="B28" s="114" t="s">
        <v>864</v>
      </c>
      <c r="C28" s="114" t="s">
        <v>865</v>
      </c>
      <c r="D28" s="114" t="s">
        <v>857</v>
      </c>
      <c r="E28" s="114" t="s">
        <v>866</v>
      </c>
      <c r="F28" s="114" t="s">
        <v>866</v>
      </c>
      <c r="G28" s="14" t="s">
        <v>60</v>
      </c>
      <c r="H28" s="15"/>
      <c r="I28" s="15"/>
      <c r="J28" s="16"/>
    </row>
    <row r="29" spans="1:10" s="3" customFormat="1" ht="67.150000000000006">
      <c r="A29" s="114" t="s">
        <v>867</v>
      </c>
      <c r="B29" s="114" t="s">
        <v>868</v>
      </c>
      <c r="C29" s="114" t="s">
        <v>869</v>
      </c>
      <c r="D29" s="114" t="s">
        <v>857</v>
      </c>
      <c r="E29" s="114" t="s">
        <v>870</v>
      </c>
      <c r="F29" s="114" t="s">
        <v>870</v>
      </c>
      <c r="G29" s="14" t="s">
        <v>60</v>
      </c>
      <c r="H29" s="15"/>
      <c r="I29" s="15"/>
      <c r="J29" s="16"/>
    </row>
    <row r="30" spans="1:10" s="3" customFormat="1" ht="50.45">
      <c r="A30" s="114" t="s">
        <v>871</v>
      </c>
      <c r="B30" s="114" t="s">
        <v>872</v>
      </c>
      <c r="C30" s="114" t="s">
        <v>873</v>
      </c>
      <c r="D30" s="114" t="s">
        <v>857</v>
      </c>
      <c r="E30" s="114" t="s">
        <v>874</v>
      </c>
      <c r="F30" s="114" t="s">
        <v>874</v>
      </c>
      <c r="G30" s="14" t="s">
        <v>60</v>
      </c>
      <c r="H30" s="15"/>
      <c r="I30" s="15"/>
      <c r="J30" s="16"/>
    </row>
    <row r="31" spans="1:10" s="3" customFormat="1" ht="50.45">
      <c r="A31" s="114" t="s">
        <v>875</v>
      </c>
      <c r="B31" s="114" t="s">
        <v>876</v>
      </c>
      <c r="C31" s="114" t="s">
        <v>877</v>
      </c>
      <c r="D31" s="114" t="s">
        <v>857</v>
      </c>
      <c r="E31" s="114" t="s">
        <v>878</v>
      </c>
      <c r="F31" s="114" t="s">
        <v>878</v>
      </c>
      <c r="G31" s="14" t="s">
        <v>60</v>
      </c>
      <c r="H31" s="15"/>
      <c r="I31" s="15"/>
      <c r="J31" s="16"/>
    </row>
    <row r="32" spans="1:10" s="3" customFormat="1" ht="33.6">
      <c r="A32" s="114" t="s">
        <v>879</v>
      </c>
      <c r="B32" s="114" t="s">
        <v>880</v>
      </c>
      <c r="C32" s="114" t="s">
        <v>881</v>
      </c>
      <c r="D32" s="114" t="s">
        <v>857</v>
      </c>
      <c r="E32" s="114" t="s">
        <v>882</v>
      </c>
      <c r="F32" s="114" t="s">
        <v>882</v>
      </c>
      <c r="G32" s="14" t="s">
        <v>60</v>
      </c>
      <c r="H32" s="15"/>
      <c r="I32" s="15"/>
      <c r="J32" s="16"/>
    </row>
    <row r="33" spans="1:10" s="3" customFormat="1" ht="33.6">
      <c r="A33" s="114" t="s">
        <v>883</v>
      </c>
      <c r="B33" s="114" t="s">
        <v>884</v>
      </c>
      <c r="C33" s="114" t="s">
        <v>885</v>
      </c>
      <c r="D33" s="114" t="s">
        <v>857</v>
      </c>
      <c r="E33" s="114" t="s">
        <v>886</v>
      </c>
      <c r="F33" s="114" t="s">
        <v>886</v>
      </c>
      <c r="G33" s="14" t="s">
        <v>60</v>
      </c>
      <c r="H33" s="15"/>
      <c r="I33" s="15"/>
      <c r="J33" s="16"/>
    </row>
    <row r="34" spans="1:10" s="3" customFormat="1" ht="33.6">
      <c r="A34" s="114" t="s">
        <v>887</v>
      </c>
      <c r="B34" s="114" t="s">
        <v>888</v>
      </c>
      <c r="C34" s="114" t="s">
        <v>889</v>
      </c>
      <c r="D34" s="114" t="s">
        <v>857</v>
      </c>
      <c r="E34" s="114" t="s">
        <v>890</v>
      </c>
      <c r="F34" s="114" t="s">
        <v>890</v>
      </c>
      <c r="G34" s="14" t="s">
        <v>60</v>
      </c>
      <c r="H34" s="15"/>
      <c r="I34" s="15"/>
      <c r="J34" s="16"/>
    </row>
    <row r="35" spans="1:10">
      <c r="A35" s="7"/>
      <c r="B35" s="7"/>
      <c r="C35" s="7"/>
      <c r="D35" s="8"/>
      <c r="E35" s="6"/>
      <c r="F35" s="6"/>
      <c r="G35" s="1"/>
      <c r="H35" s="9"/>
      <c r="I35" s="10"/>
      <c r="J35" s="8"/>
    </row>
    <row r="36" spans="1:10">
      <c r="A36" s="7"/>
      <c r="B36" s="7"/>
      <c r="C36" s="7"/>
      <c r="D36" s="8"/>
      <c r="E36" s="6"/>
      <c r="F36" s="6"/>
      <c r="G36" s="1"/>
      <c r="H36" s="9"/>
      <c r="I36" s="10"/>
      <c r="J36" s="8"/>
    </row>
    <row r="37" spans="1:10">
      <c r="A37" s="7"/>
      <c r="B37" s="7"/>
      <c r="C37" s="7"/>
      <c r="D37" s="8"/>
      <c r="E37" s="6"/>
      <c r="F37" s="6"/>
      <c r="G37" s="1"/>
      <c r="H37" s="9"/>
      <c r="I37" s="10"/>
      <c r="J37" s="8"/>
    </row>
  </sheetData>
  <mergeCells count="13"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  <mergeCell ref="A25:J25"/>
  </mergeCells>
  <conditionalFormatting sqref="G12:G24 G26:G34">
    <cfRule type="containsText" dxfId="3" priority="1" operator="containsText" text="Hoàn thành">
      <formula>NOT(ISERROR(SEARCH("Hoàn thành",G12)))</formula>
    </cfRule>
    <cfRule type="containsText" dxfId="2" priority="2" operator="containsText" text="Lỗi">
      <formula>NOT(ISERROR(SEARCH("Lỗi",G12)))</formula>
    </cfRule>
    <cfRule type="containsText" dxfId="1" priority="3" operator="containsText" text="Hoàn thành">
      <formula>NOT(ISERROR(SEARCH("Hoàn thành",G12)))</formula>
    </cfRule>
    <cfRule type="containsText" dxfId="0" priority="4" operator="containsText" text="Hoàn thành">
      <formula>NOT(ISERROR(SEARCH("Hoàn thành",G12)))</formula>
    </cfRule>
  </conditionalFormatting>
  <dataValidations count="2">
    <dataValidation type="list" operator="equal" allowBlank="1" showErrorMessage="1" promptTitle="dfdf" sqref="G35:G37" xr:uid="{A829F847-0F2C-40E4-966E-255D00724D05}">
      <formula1>"Passed,Untested,Failed,Blocked"</formula1>
      <formula2>0</formula2>
    </dataValidation>
    <dataValidation type="list" allowBlank="1" showInputMessage="1" showErrorMessage="1" sqref="G12:G24 G26:G34" xr:uid="{B579488B-6484-4DB4-B511-73C10BF6C9DA}">
      <formula1>"Pass, Fail, Chưa kiểm tra, Bị chặn"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3442-45CF-494D-826E-1C019FD7458B}">
  <sheetPr>
    <tabColor theme="9"/>
  </sheetPr>
  <dimension ref="A1"/>
  <sheetViews>
    <sheetView workbookViewId="0">
      <selection sqref="A1:XFD1048576"/>
    </sheetView>
  </sheetViews>
  <sheetFormatPr defaultRowHeight="14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3E09-81E6-4C1F-9735-DE71D67C8790}">
  <sheetPr>
    <tabColor theme="9"/>
  </sheetPr>
  <dimension ref="A1"/>
  <sheetViews>
    <sheetView workbookViewId="0">
      <selection sqref="A1:XFD1048576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hungp</dc:creator>
  <cp:keywords/>
  <dc:description/>
  <cp:lastModifiedBy>tran hung</cp:lastModifiedBy>
  <cp:revision/>
  <dcterms:created xsi:type="dcterms:W3CDTF">2015-06-05T18:17:20Z</dcterms:created>
  <dcterms:modified xsi:type="dcterms:W3CDTF">2026-04-29T00:08:29Z</dcterms:modified>
  <cp:category/>
  <cp:contentStatus/>
</cp:coreProperties>
</file>