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92d563495b9917d/KLTN2026_Nhom35/"/>
    </mc:Choice>
  </mc:AlternateContent>
  <xr:revisionPtr revIDLastSave="196" documentId="13_ncr:1_{F28062AB-F74A-461B-9B93-357732416B3E}" xr6:coauthVersionLast="47" xr6:coauthVersionMax="47" xr10:uidLastSave="{B5B78A00-0378-40E8-AB9B-3E10FC214D5C}"/>
  <bookViews>
    <workbookView xWindow="-108" yWindow="-108" windowWidth="23256" windowHeight="13176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1" i="3" l="1"/>
  <c r="S121" i="3"/>
  <c r="Q121" i="3"/>
  <c r="O121" i="3"/>
  <c r="N121" i="3"/>
  <c r="K120" i="3"/>
  <c r="K121" i="3"/>
  <c r="J121" i="3"/>
  <c r="I121" i="3"/>
  <c r="S109" i="2"/>
  <c r="Q108" i="2"/>
  <c r="Q109" i="2"/>
  <c r="P109" i="2"/>
  <c r="O108" i="2"/>
  <c r="O109" i="2"/>
  <c r="N108" i="2"/>
  <c r="N109" i="2"/>
  <c r="L109" i="2"/>
  <c r="J109" i="2"/>
  <c r="H121" i="3"/>
  <c r="M121" i="3"/>
  <c r="P121" i="3"/>
  <c r="R121" i="3"/>
  <c r="T121" i="3"/>
  <c r="U121" i="3"/>
  <c r="V121" i="3"/>
  <c r="W121" i="3"/>
  <c r="X121" i="3"/>
  <c r="H120" i="3"/>
  <c r="I120" i="3"/>
  <c r="J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E12" i="3"/>
  <c r="D12" i="3"/>
  <c r="E11" i="3"/>
  <c r="D11" i="3"/>
  <c r="E10" i="3"/>
  <c r="D10" i="3"/>
  <c r="E9" i="3"/>
  <c r="D9" i="3"/>
  <c r="E8" i="3"/>
  <c r="D8" i="3"/>
  <c r="E12" i="2"/>
  <c r="D12" i="2"/>
  <c r="E11" i="2"/>
  <c r="D11" i="2"/>
  <c r="E10" i="2"/>
  <c r="D10" i="2"/>
  <c r="E9" i="2"/>
  <c r="D9" i="2"/>
  <c r="E8" i="2"/>
  <c r="D8" i="2"/>
  <c r="H108" i="2"/>
  <c r="I108" i="2"/>
  <c r="J108" i="2"/>
  <c r="K108" i="2"/>
  <c r="L108" i="2"/>
  <c r="M108" i="2"/>
  <c r="P108" i="2"/>
  <c r="R108" i="2"/>
  <c r="S108" i="2"/>
  <c r="T108" i="2"/>
  <c r="U108" i="2"/>
  <c r="V108" i="2"/>
  <c r="W108" i="2"/>
  <c r="X108" i="2"/>
  <c r="Y108" i="2"/>
  <c r="G108" i="2"/>
  <c r="G109" i="2"/>
  <c r="H109" i="2"/>
  <c r="I109" i="2"/>
  <c r="K109" i="2"/>
  <c r="M109" i="2"/>
  <c r="R109" i="2"/>
  <c r="T109" i="2"/>
  <c r="U109" i="2"/>
  <c r="V109" i="2"/>
  <c r="W109" i="2"/>
  <c r="X109" i="2"/>
  <c r="Y109" i="2"/>
  <c r="N106" i="1"/>
  <c r="N105" i="1"/>
  <c r="M105" i="1"/>
  <c r="M106" i="1"/>
  <c r="P105" i="1"/>
  <c r="P106" i="1"/>
  <c r="O106" i="1"/>
  <c r="K106" i="1"/>
  <c r="K105" i="1"/>
  <c r="I106" i="1"/>
  <c r="J105" i="1"/>
  <c r="J106" i="1"/>
  <c r="U106" i="1"/>
  <c r="V106" i="1"/>
  <c r="U105" i="1"/>
  <c r="V105" i="1"/>
  <c r="T105" i="1"/>
  <c r="D12" i="1"/>
  <c r="D11" i="1"/>
  <c r="D10" i="1"/>
  <c r="D9" i="1"/>
  <c r="D8" i="1"/>
  <c r="G121" i="3"/>
  <c r="F121" i="3"/>
  <c r="G120" i="3"/>
  <c r="F120" i="3"/>
  <c r="F109" i="2"/>
  <c r="F108" i="2"/>
  <c r="E11" i="1"/>
  <c r="E12" i="1"/>
  <c r="E10" i="1"/>
  <c r="E9" i="1"/>
  <c r="E8" i="1"/>
  <c r="T106" i="1"/>
  <c r="S106" i="1"/>
  <c r="R106" i="1"/>
  <c r="Q106" i="1"/>
  <c r="L106" i="1"/>
  <c r="H106" i="1"/>
  <c r="G106" i="1"/>
  <c r="F106" i="1"/>
  <c r="S105" i="1"/>
  <c r="R105" i="1"/>
  <c r="Q105" i="1"/>
  <c r="O105" i="1"/>
  <c r="L105" i="1"/>
  <c r="I105" i="1"/>
  <c r="H105" i="1"/>
  <c r="G105" i="1"/>
  <c r="F105" i="1"/>
  <c r="D13" i="3" l="1"/>
  <c r="D13" i="2"/>
  <c r="E13" i="3"/>
  <c r="E13" i="2"/>
  <c r="D13" i="1"/>
  <c r="E13" i="1"/>
  <c r="C4" i="4" l="1"/>
  <c r="G6" i="4" l="1"/>
  <c r="K6" i="4"/>
  <c r="I6" i="4"/>
  <c r="E6" i="4"/>
  <c r="C6" i="4"/>
  <c r="J6" i="4"/>
  <c r="J4" i="4"/>
  <c r="H6" i="4"/>
  <c r="H4" i="4"/>
  <c r="F6" i="4"/>
  <c r="F5" i="4"/>
  <c r="D6" i="4"/>
  <c r="D5" i="4"/>
  <c r="B6" i="4"/>
  <c r="B5" i="4"/>
  <c r="K5" i="4"/>
  <c r="I5" i="4"/>
  <c r="K4" i="4"/>
  <c r="I4" i="4"/>
  <c r="G5" i="4"/>
  <c r="G4" i="4"/>
  <c r="E5" i="4"/>
  <c r="E4" i="4"/>
  <c r="C5" i="4"/>
  <c r="J5" i="4"/>
  <c r="H5" i="4"/>
  <c r="F4" i="4"/>
  <c r="D4" i="4"/>
  <c r="B4" i="4"/>
  <c r="F7" i="4" l="1"/>
  <c r="D7" i="4"/>
  <c r="K7" i="4"/>
  <c r="B7" i="4"/>
  <c r="C7" i="4"/>
  <c r="G7" i="4"/>
  <c r="J7" i="4"/>
  <c r="E7" i="4"/>
  <c r="I7" i="4"/>
  <c r="H7" i="4"/>
  <c r="F11" i="4" l="1"/>
  <c r="F12" i="4"/>
</calcChain>
</file>

<file path=xl/sharedStrings.xml><?xml version="1.0" encoding="utf-8"?>
<sst xmlns="http://schemas.openxmlformats.org/spreadsheetml/2006/main" count="602" uniqueCount="273">
  <si>
    <t>End date:</t>
  </si>
  <si>
    <t>Start date:</t>
  </si>
  <si>
    <t>Module name:</t>
  </si>
  <si>
    <t>Project name:</t>
  </si>
  <si>
    <t>Sprint 1</t>
  </si>
  <si>
    <t>Sprint</t>
  </si>
  <si>
    <t>Compoment</t>
  </si>
  <si>
    <t>Task name</t>
  </si>
  <si>
    <t>Responsible Member</t>
  </si>
  <si>
    <t>Thực tế</t>
  </si>
  <si>
    <t>Tổng</t>
  </si>
  <si>
    <t>Coding</t>
  </si>
  <si>
    <t>Testing</t>
  </si>
  <si>
    <t>Release Sprint 1</t>
  </si>
  <si>
    <t>Sprint 2</t>
  </si>
  <si>
    <t>Sprint 3</t>
  </si>
  <si>
    <t>Re-testing</t>
  </si>
  <si>
    <t>All team</t>
  </si>
  <si>
    <t>Ước tính</t>
  </si>
  <si>
    <t>SPRINT BACKLOG REPORT</t>
  </si>
  <si>
    <t>FINAL TOTAL</t>
  </si>
  <si>
    <t>Trước thời hạn</t>
  </si>
  <si>
    <t>Lĩnh</t>
  </si>
  <si>
    <t>Thúy, Luyện</t>
  </si>
  <si>
    <t>BÁO CÁO SPRINT 1</t>
  </si>
  <si>
    <t>Đúng tiến độ</t>
  </si>
  <si>
    <t>STT</t>
  </si>
  <si>
    <t>Tên thành viên</t>
  </si>
  <si>
    <t>Trễ</t>
  </si>
  <si>
    <t>Trần Hưng</t>
  </si>
  <si>
    <t>Lê Văn Bá Khải</t>
  </si>
  <si>
    <t>Nguyễn Trần Lĩnh</t>
  </si>
  <si>
    <t>Tổng cộng</t>
  </si>
  <si>
    <t>Thực Tế</t>
  </si>
  <si>
    <t>Ước Tính</t>
  </si>
  <si>
    <t>SPRINT 1</t>
  </si>
  <si>
    <t>Họp kế hoạch Sprint 1</t>
  </si>
  <si>
    <t>Tạo tài liệu spring backlog 1</t>
  </si>
  <si>
    <t>Tạo tài liệu kiểm thử cho Sprint 1</t>
  </si>
  <si>
    <t>Thiết kế giao diện</t>
  </si>
  <si>
    <t>Khải</t>
  </si>
  <si>
    <t>Review of Sprint 1</t>
  </si>
  <si>
    <t>Thiết kế Testcase</t>
  </si>
  <si>
    <t>Hưng</t>
  </si>
  <si>
    <t>Review all test case of Sprint 1</t>
  </si>
  <si>
    <t>Integrate Code</t>
  </si>
  <si>
    <t>Fix bugs</t>
  </si>
  <si>
    <t>Sprint 1 Review Meeting</t>
  </si>
  <si>
    <t>Sprint 1 Retrospective</t>
  </si>
  <si>
    <t>Luyện</t>
  </si>
  <si>
    <t>Thúy</t>
  </si>
  <si>
    <t>Hưng, Khải</t>
  </si>
  <si>
    <t>Ứng Dụng AI Xây Dựng Hệ Thống Giám Sát Và Dự Báo Chất Lượng Không Khí</t>
  </si>
  <si>
    <t>Phùng Thị Luyện</t>
  </si>
  <si>
    <t>Phan Thị Thanh Thúy</t>
  </si>
  <si>
    <t>Thiết kế UI Đăng ký tài khoản</t>
  </si>
  <si>
    <t>Thiết kế UI Đăng nhập</t>
  </si>
  <si>
    <t xml:space="preserve">Thiết kế UI Đăng xuất </t>
  </si>
  <si>
    <t>Thiết kế UI Quên mật khẩu</t>
  </si>
  <si>
    <t>Thiết kế UI Bản đồ nhiệt (Heatmap)</t>
  </si>
  <si>
    <t>Thiết kế UI Quản lý người dùng (Admin)</t>
  </si>
  <si>
    <t>Thiết kế UI Quản lý trạm quan trắc</t>
  </si>
  <si>
    <t>Thiết kế UI Giám sát dữ liệu môi trường</t>
  </si>
  <si>
    <t>Viết Test Case Đăng ký tài khoản</t>
  </si>
  <si>
    <t>Viết Test Case Đăng nhập</t>
  </si>
  <si>
    <t>Viết Test Case Đăng xuất</t>
  </si>
  <si>
    <t>Viết Test Case Quên mật khẩu</t>
  </si>
  <si>
    <t>Viết Test Case Bản đồ nhiệt (Heatmap)</t>
  </si>
  <si>
    <t>Viết Test Case Quản lý người dùng</t>
  </si>
  <si>
    <t>Viết Test Case Quản lý trạm quan trắc</t>
  </si>
  <si>
    <t>Viết Test Case Giám sát dữ liệu môi trường</t>
  </si>
  <si>
    <t>Code Frontend Đăng ký tài khoản</t>
  </si>
  <si>
    <t>Code Frontend Đăng nhập</t>
  </si>
  <si>
    <t>Code Frontend Đăng xuất</t>
  </si>
  <si>
    <t>Code Frontend Quên mật khẩu</t>
  </si>
  <si>
    <t>Code Frontend Bản đồ nhiệt (Heatmap)</t>
  </si>
  <si>
    <t>Code Frontend Quản lý người dùng</t>
  </si>
  <si>
    <t>Code Frontend Quản lý trạm quan trắc</t>
  </si>
  <si>
    <t>Code Frontend Giám sát dữ liệu môi trường</t>
  </si>
  <si>
    <t>Code Backend Đăng ký tài khoản</t>
  </si>
  <si>
    <t>Code Backend Đăng nhập &amp; JWT</t>
  </si>
  <si>
    <t>Code Backend Đăng xuất</t>
  </si>
  <si>
    <t>Code Backend Quên mật khẩu</t>
  </si>
  <si>
    <t>Code Backend API Bản đồ nhiệt</t>
  </si>
  <si>
    <t>Code Backend API Quản lý người dùng</t>
  </si>
  <si>
    <t>Code Backend API Quản lý trạm</t>
  </si>
  <si>
    <t>Code Backend API Giám sát dữ liệu</t>
  </si>
  <si>
    <t>Testing Đăng ký tài khoản</t>
  </si>
  <si>
    <t>Testing Đăng nhập</t>
  </si>
  <si>
    <t>Testing Đăng xuất</t>
  </si>
  <si>
    <t>Testing Quên mật khẩu</t>
  </si>
  <si>
    <t>Testing Bản đồ nhiệt</t>
  </si>
  <si>
    <t>Testing Quản lý người dùng</t>
  </si>
  <si>
    <t>Testing Quản lý trạm quan trắc</t>
  </si>
  <si>
    <t>Testing Giám sát dữ liệu</t>
  </si>
  <si>
    <t>Fix Bugs Đăng ký tài khoản</t>
  </si>
  <si>
    <t>Fix Bugs Đăng nhập</t>
  </si>
  <si>
    <t>Fix Bugs Đăng xuất</t>
  </si>
  <si>
    <t>Fix Bugs Quên mật khẩu</t>
  </si>
  <si>
    <t>Fix Bugs Bản đồ nhiệt</t>
  </si>
  <si>
    <t>Fix Bugs Quản lý người dùng</t>
  </si>
  <si>
    <t>Fix Bugs Quản lý trạm quan trắc</t>
  </si>
  <si>
    <t>Fix Bugs Giám sát dữ liệu</t>
  </si>
  <si>
    <t>ReTesting Đăng ký tài khoản</t>
  </si>
  <si>
    <t>ReTesting Đăng nhập</t>
  </si>
  <si>
    <t>ReTesting Đăng xuất</t>
  </si>
  <si>
    <t>ReTesting Quên mật khẩu</t>
  </si>
  <si>
    <t>ReTesting Bản đồ nhiệt</t>
  </si>
  <si>
    <t>ReTesting Quản lý người dùng</t>
  </si>
  <si>
    <t>ReTesting Quản lý trạm quan trắc</t>
  </si>
  <si>
    <t>ReTesting Giám sát dữ liệu</t>
  </si>
  <si>
    <t>Thiết kế UI Tổng quan CLKK</t>
  </si>
  <si>
    <t>Viết Test Case Tổng quan CLKK</t>
  </si>
  <si>
    <t>Code Frontend Tổng quan CLKK</t>
  </si>
  <si>
    <t>Code Backend API Tổng quan CLKK</t>
  </si>
  <si>
    <t>Testing Tổng quan CLKK</t>
  </si>
  <si>
    <t>Fix Bugs Tổng quan CLKK</t>
  </si>
  <si>
    <t>ReTesting Tổng quan CLKK</t>
  </si>
  <si>
    <t xml:space="preserve">Thiết kế UI Chi tiết CLKK </t>
  </si>
  <si>
    <t xml:space="preserve">Viết Test Case Chi tiết CLKK </t>
  </si>
  <si>
    <t xml:space="preserve">Code Frontend Chi tiết CLKK </t>
  </si>
  <si>
    <t xml:space="preserve">Code Backend API Chi tiết CLKK </t>
  </si>
  <si>
    <t xml:space="preserve">Testing Chi tiết CLKK </t>
  </si>
  <si>
    <t xml:space="preserve">Fix Bugs Chi tiết CLKK </t>
  </si>
  <si>
    <t xml:space="preserve">ReTesting Chi tiết CLKK </t>
  </si>
  <si>
    <t>Thiết kế UI  Cập nhật hồ sơ y tế</t>
  </si>
  <si>
    <t>Thiết kế UI  Dự báo CLKK (AI)</t>
  </si>
  <si>
    <t>Thiết kế UI  Tìm đường (Eco-Routing)</t>
  </si>
  <si>
    <t>Thiết kế UI  Thiết lập khu vực quan tâm</t>
  </si>
  <si>
    <t>Thiết kế UI  Thiết lập cảnh báo</t>
  </si>
  <si>
    <t>Thiết kế UI  Nhận thông báo đa kênh</t>
  </si>
  <si>
    <t>Thiết kế UI  Đăng ký gói Pro</t>
  </si>
  <si>
    <t>Thiết kế UI  Liên hệ</t>
  </si>
  <si>
    <t>Thiết kế UI  Quản lý liên hệ</t>
  </si>
  <si>
    <t>Thiết kế UI  Khuyến nghị sức khỏe</t>
  </si>
  <si>
    <t>Review all user interfaces of Sprint 2</t>
  </si>
  <si>
    <t>Viết Test Case  Cập nhật hồ sơ y tế</t>
  </si>
  <si>
    <t>Viết Test Case  Dự báo CLKK (AI)</t>
  </si>
  <si>
    <t>Viết Test Case  Tìm đường (Eco-Routing)</t>
  </si>
  <si>
    <t>Viết Test Case  Khu vực quan tâm</t>
  </si>
  <si>
    <t>Viết Test Case  Thiết lập cảnh báo</t>
  </si>
  <si>
    <t>Viết Test Case  Nhận thông báo đa kênh</t>
  </si>
  <si>
    <t>Viết Test Case  Đăng ký gói Pro</t>
  </si>
  <si>
    <t>Viết Test Case  Liên hệ</t>
  </si>
  <si>
    <t>Viết Test Case Quản lý liên hệ</t>
  </si>
  <si>
    <t>Viết Test Case  Khuyến nghị sức khỏe</t>
  </si>
  <si>
    <t>Review all test case of Sprint 2</t>
  </si>
  <si>
    <t>Code Frontend  Cập nhật hồ sơ y tế</t>
  </si>
  <si>
    <t>Code Frontend  Dự báo CLKK (AI)</t>
  </si>
  <si>
    <t>Code Frontend  Tìm đường (Eco-Routing)</t>
  </si>
  <si>
    <t>Code Frontend  Khu vực quan tâm</t>
  </si>
  <si>
    <t>Code Frontend  Thiết lập cảnh báo</t>
  </si>
  <si>
    <t>Code Frontend  UI Nhận thông báo</t>
  </si>
  <si>
    <t>Code Frontend  Đăng ký gói Pro (Cổng TT)</t>
  </si>
  <si>
    <t>Code Frontend  Liên hệ</t>
  </si>
  <si>
    <t>Code Frontend  Quản lý liên hệ</t>
  </si>
  <si>
    <t>Code Frontend  Khuyến nghị sức khỏe</t>
  </si>
  <si>
    <t>Code Backend  API Hồ sơ y tế</t>
  </si>
  <si>
    <t>Code Backend  API Model AI XGBoost</t>
  </si>
  <si>
    <t>Code Backend  API Thuật toán A* Routing</t>
  </si>
  <si>
    <t>Code Backend  API Khu vực quan tâm</t>
  </si>
  <si>
    <t>Code Backend  Logic Cảnh báo DB</t>
  </si>
  <si>
    <t>Code Backend  Tích hợp Email/Zalo ZNS</t>
  </si>
  <si>
    <t>Code Backend  API Payment Gateway</t>
  </si>
  <si>
    <t>Code Backend  API Liên hệ</t>
  </si>
  <si>
    <t>Code Backend  API Quản lý liên hệ</t>
  </si>
  <si>
    <t>Code Backend  Logic Khuyến nghị y tế</t>
  </si>
  <si>
    <t>Integrate code</t>
  </si>
  <si>
    <t>Testing  Cập nhật hồ sơ y tế</t>
  </si>
  <si>
    <t>Testing  Dự báo CLKK</t>
  </si>
  <si>
    <t>Testing  Tìm đường (Eco-Routing)</t>
  </si>
  <si>
    <t>Testing  Khu vực quan tâm</t>
  </si>
  <si>
    <t>Testing  Thiết lập cảnh báo</t>
  </si>
  <si>
    <t>Testing  Nhận thông báo đa kênh</t>
  </si>
  <si>
    <t>Testing  Đăng ký gói Pro</t>
  </si>
  <si>
    <t>Testing  Liên hệ</t>
  </si>
  <si>
    <t>Testing  Quản lý liên hệ</t>
  </si>
  <si>
    <t>Testing  Khuyến nghị sức khỏe</t>
  </si>
  <si>
    <t>Fix Bugs  Dự báo CLKK</t>
  </si>
  <si>
    <t>Fix Bugs  Tìm đường (Eco-Routing)</t>
  </si>
  <si>
    <t>Fix Bugs  Khu vực quan tâm</t>
  </si>
  <si>
    <t>Fix Bugs  Thiết lập cảnh báo</t>
  </si>
  <si>
    <t>Fix Bugs  Nhận thông báo đa kênh</t>
  </si>
  <si>
    <t>Fix Bugs  Đăng ký gói Pro</t>
  </si>
  <si>
    <t>Fix Bugs  Liên hệ</t>
  </si>
  <si>
    <t>Fix Bugs  Quản lý liên hệ</t>
  </si>
  <si>
    <t>Fix Bugs  Cập nhật hồ sơ y tế</t>
  </si>
  <si>
    <t>Fix Bugs Khuyến nghị sức khỏe</t>
  </si>
  <si>
    <t>ReTesting  Cập nhật hồ sơ y tế</t>
  </si>
  <si>
    <t>ReTesting  Dự báo CLKK</t>
  </si>
  <si>
    <t>ReTesting  Tìm đường (Eco-Routing)</t>
  </si>
  <si>
    <t>ReTesting  Khu vực quan tâm</t>
  </si>
  <si>
    <t>ReTesting  Thiết lập cảnh báo</t>
  </si>
  <si>
    <t>ReTesting  Nhận thông báo đa kênh</t>
  </si>
  <si>
    <t>ReTesting  Đăng ký gói Pro</t>
  </si>
  <si>
    <t>ReTesting  Liên hệ</t>
  </si>
  <si>
    <t>ReTesting Quản lý liên hệ</t>
  </si>
  <si>
    <t>ReTesting  Khuyến nghị sức khỏe</t>
  </si>
  <si>
    <t>Thiết kế UI  Trợ lý AI (Chatbot)</t>
  </si>
  <si>
    <t>Thiết kế UI  API Key</t>
  </si>
  <si>
    <t>Thiết kế UI  Export dữ liệu</t>
  </si>
  <si>
    <t>Thiết kế UI  Báo cáo điểm nóng</t>
  </si>
  <si>
    <t>Thiết kế UI  Duyệt báo cáo</t>
  </si>
  <si>
    <t>Thiết kế UI  Cấu hình AQI</t>
  </si>
  <si>
    <t>Thiết kế UI  Thống kê hệ thống</t>
  </si>
  <si>
    <t>Review all user interfaces of Sprint 3</t>
  </si>
  <si>
    <t>Viết Test Case  Trợ lý AI</t>
  </si>
  <si>
    <t>Viết Test Case  API Key</t>
  </si>
  <si>
    <t>Viết Test Case  Export dữ liệu</t>
  </si>
  <si>
    <t>Viết Test Case  Báo cáo điểm nóng</t>
  </si>
  <si>
    <t>Viết Test Case  Duyệt báo cáo</t>
  </si>
  <si>
    <t>Viết Test Case  Cấu hình AQI</t>
  </si>
  <si>
    <t>Viết Test Case  Thống kê hệ thống</t>
  </si>
  <si>
    <t>Review all test case of Sprint 3</t>
  </si>
  <si>
    <t>Code Frontend  Trợ lý AI (Chatbot)</t>
  </si>
  <si>
    <t>Code Frontend  API Key</t>
  </si>
  <si>
    <t>Code Frontend  Export dữ liệu</t>
  </si>
  <si>
    <t>Code Frontend  Báo cáo điểm nóng</t>
  </si>
  <si>
    <t>Code Frontend  Duyệt báo cáo</t>
  </si>
  <si>
    <t>Code Frontend  Cấu hình AQI</t>
  </si>
  <si>
    <t>Code Frontend  Thống kê hệ thống</t>
  </si>
  <si>
    <t>Code Backend  RAG Chatbot API</t>
  </si>
  <si>
    <t>Code Backend  API Rate Limiting</t>
  </si>
  <si>
    <t>Code Backend  Thư viện Export CSV/PDF</t>
  </si>
  <si>
    <t>Code Backend  Truy vấn dữ liệu dài hạn</t>
  </si>
  <si>
    <t>Code Backend  Upload Ảnh &amp; Báo cáo</t>
  </si>
  <si>
    <t>Code Backend  API Phê duyệt báo cáo</t>
  </si>
  <si>
    <t>Code Backend  API Tổng hợp Dashboard</t>
  </si>
  <si>
    <t>Code Backend  API Cấu hình AQI</t>
  </si>
  <si>
    <t>Code Backend  Tracking &amp; Thống kê</t>
  </si>
  <si>
    <t>Code Backend  Middleware Phân quyền</t>
  </si>
  <si>
    <t>Testing  Trợ lý AI</t>
  </si>
  <si>
    <t>Testing  API Key</t>
  </si>
  <si>
    <t>Testing  Export dữ liệu</t>
  </si>
  <si>
    <t>Testing  Báo cáo điểm nóng</t>
  </si>
  <si>
    <t>Testing  Duyệt báo cáo</t>
  </si>
  <si>
    <t>Testing  Cấu hình AQI</t>
  </si>
  <si>
    <t>Testing  Thống kê hệ thống</t>
  </si>
  <si>
    <t>Fix Bugs  Trợ lý AI</t>
  </si>
  <si>
    <t>Fix Bugs  API Key</t>
  </si>
  <si>
    <t>Fix Bugs  Export dữ liệu</t>
  </si>
  <si>
    <t>Fix Bugs  Báo cáo điểm nóng</t>
  </si>
  <si>
    <t>Fix Bugs  Duyệt báo cáo</t>
  </si>
  <si>
    <t>Fix Bugs  Cấu hình AQI</t>
  </si>
  <si>
    <t>Fix Bugs  Thống kê hệ thống</t>
  </si>
  <si>
    <t>ReTesting  Trợ lý AI</t>
  </si>
  <si>
    <t>ReTesting  API Key</t>
  </si>
  <si>
    <t>ReTesting  Export dữ liệu</t>
  </si>
  <si>
    <t>ReTesting  Báo cáo điểm nóng</t>
  </si>
  <si>
    <t>ReTesting  Duyệt báo cáo</t>
  </si>
  <si>
    <t>ReTesting  Cấu hình AQI</t>
  </si>
  <si>
    <t>ReTesting  Thống kê hệ thống</t>
  </si>
  <si>
    <t>All Team</t>
  </si>
  <si>
    <t>BÁO CÁO SPRINT 3</t>
  </si>
  <si>
    <t>BÁO CÁO SPRINT 2</t>
  </si>
  <si>
    <t>Thiết kế UI  Dashboard hệ thống &amp; người dùng</t>
  </si>
  <si>
    <t>Viết Test Case  Dashboard hệ thống &amp; người dùng</t>
  </si>
  <si>
    <t>Code Frontend  Dashboard hệ thống &amp; người dùng</t>
  </si>
  <si>
    <t>Testing  Dashboard hệ thống &amp; người dùng</t>
  </si>
  <si>
    <t>Fix Bugs  Dashboard hệ thống &amp; người dùng</t>
  </si>
  <si>
    <t>ReTesting  Dashboard hệ thống &amp; người dùng</t>
  </si>
  <si>
    <t>Thiết kế UI  Lịch sử dữ liệu &amp; Export dài hạn</t>
  </si>
  <si>
    <t>Viết Test Case  Lịch sử dữ liệu &amp; Export</t>
  </si>
  <si>
    <t>Code Frontend  Lịch sử dữ liệu &amp; Export</t>
  </si>
  <si>
    <t>Testing  Lịch sử dữ liệu &amp; Export</t>
  </si>
  <si>
    <t>Fix Bugs  Lịch sử dữ liệu &amp; Export</t>
  </si>
  <si>
    <t>ReTesting  Lịch sử dữ liệu &amp; Export</t>
  </si>
  <si>
    <t>Thiết kế UI  Phân quyền</t>
  </si>
  <si>
    <t>Viết Test Case  Phân quyền</t>
  </si>
  <si>
    <t>Code Frontend  Phân quyền</t>
  </si>
  <si>
    <t>Testing  Phân quyền</t>
  </si>
  <si>
    <t>Fix Bugs  Phân quyền</t>
  </si>
  <si>
    <t>ReTesting  Phân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</si>
</sst>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3"/>
      <name val="Times New Roman"/>
      <family val="1"/>
    </font>
    <font>
      <sz val="10"/>
      <color theme="1"/>
      <name val="Times New Roman"/>
      <family val="1"/>
    </font>
    <font>
      <b/>
      <sz val="13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3300"/>
        <bgColor rgb="FFFF330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1" fillId="4" borderId="4" xfId="0" applyFont="1" applyFill="1" applyBorder="1"/>
    <xf numFmtId="0" fontId="1" fillId="0" borderId="5" xfId="0" applyFont="1" applyBorder="1"/>
    <xf numFmtId="0" fontId="1" fillId="4" borderId="6" xfId="0" applyFont="1" applyFill="1" applyBorder="1"/>
    <xf numFmtId="0" fontId="1" fillId="0" borderId="8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14" fontId="5" fillId="0" borderId="0" xfId="0" applyNumberFormat="1" applyFont="1"/>
    <xf numFmtId="0" fontId="4" fillId="7" borderId="1" xfId="0" applyFont="1" applyFill="1" applyBorder="1"/>
    <xf numFmtId="0" fontId="7" fillId="8" borderId="22" xfId="0" applyFont="1" applyFill="1" applyBorder="1" applyAlignment="1">
      <alignment horizontal="center"/>
    </xf>
    <xf numFmtId="0" fontId="7" fillId="8" borderId="24" xfId="0" applyFont="1" applyFill="1" applyBorder="1" applyAlignment="1">
      <alignment horizontal="center"/>
    </xf>
    <xf numFmtId="0" fontId="4" fillId="9" borderId="1" xfId="0" applyFont="1" applyFill="1" applyBorder="1"/>
    <xf numFmtId="0" fontId="4" fillId="0" borderId="25" xfId="0" applyFont="1" applyBorder="1" applyAlignment="1">
      <alignment horizontal="center"/>
    </xf>
    <xf numFmtId="1" fontId="4" fillId="0" borderId="24" xfId="0" applyNumberFormat="1" applyFont="1" applyBorder="1" applyAlignment="1">
      <alignment horizontal="center"/>
    </xf>
    <xf numFmtId="0" fontId="4" fillId="11" borderId="1" xfId="0" applyFont="1" applyFill="1" applyBorder="1"/>
    <xf numFmtId="0" fontId="4" fillId="0" borderId="26" xfId="0" applyFont="1" applyBorder="1" applyAlignment="1">
      <alignment horizontal="center"/>
    </xf>
    <xf numFmtId="1" fontId="2" fillId="2" borderId="17" xfId="0" applyNumberFormat="1" applyFont="1" applyFill="1" applyBorder="1" applyAlignment="1">
      <alignment vertical="center"/>
    </xf>
    <xf numFmtId="0" fontId="7" fillId="10" borderId="0" xfId="0" applyFont="1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0" borderId="16" xfId="0" applyFont="1" applyBorder="1" applyAlignment="1">
      <alignment horizont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16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wrapText="1"/>
    </xf>
    <xf numFmtId="0" fontId="1" fillId="5" borderId="13" xfId="0" applyFont="1" applyFill="1" applyBorder="1"/>
    <xf numFmtId="0" fontId="4" fillId="14" borderId="1" xfId="0" applyFon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right" vertical="center" wrapText="1"/>
    </xf>
    <xf numFmtId="0" fontId="1" fillId="0" borderId="12" xfId="0" applyFont="1" applyBorder="1" applyAlignment="1">
      <alignment vertical="center" wrapText="1"/>
    </xf>
    <xf numFmtId="0" fontId="4" fillId="5" borderId="13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1" fillId="5" borderId="1" xfId="0" applyFont="1" applyFill="1" applyBorder="1"/>
    <xf numFmtId="0" fontId="1" fillId="0" borderId="2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2" xfId="0" applyFont="1" applyBorder="1" applyAlignment="1">
      <alignment horizontal="justify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10" borderId="19" xfId="0" applyFont="1" applyFill="1" applyBorder="1" applyAlignment="1">
      <alignment horizontal="left"/>
    </xf>
    <xf numFmtId="0" fontId="3" fillId="0" borderId="21" xfId="0" applyFont="1" applyBorder="1"/>
    <xf numFmtId="1" fontId="4" fillId="0" borderId="19" xfId="0" applyNumberFormat="1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" fontId="4" fillId="0" borderId="2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10" borderId="25" xfId="0" applyFont="1" applyFill="1" applyBorder="1" applyAlignment="1">
      <alignment horizontal="left"/>
    </xf>
    <xf numFmtId="0" fontId="3" fillId="0" borderId="24" xfId="0" applyFont="1" applyBorder="1"/>
    <xf numFmtId="1" fontId="3" fillId="0" borderId="20" xfId="0" applyNumberFormat="1" applyFont="1" applyBorder="1"/>
    <xf numFmtId="1" fontId="3" fillId="0" borderId="21" xfId="0" applyNumberFormat="1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4" fillId="10" borderId="26" xfId="0" applyFont="1" applyFill="1" applyBorder="1" applyAlignment="1">
      <alignment horizontal="left"/>
    </xf>
    <xf numFmtId="0" fontId="3" fillId="0" borderId="23" xfId="0" applyFont="1" applyBorder="1"/>
    <xf numFmtId="0" fontId="7" fillId="12" borderId="25" xfId="0" applyFont="1" applyFill="1" applyBorder="1" applyAlignment="1">
      <alignment horizontal="center"/>
    </xf>
    <xf numFmtId="0" fontId="3" fillId="0" borderId="27" xfId="0" applyFont="1" applyBorder="1"/>
    <xf numFmtId="0" fontId="5" fillId="0" borderId="12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4" fontId="5" fillId="0" borderId="12" xfId="0" applyNumberFormat="1" applyFont="1" applyBorder="1" applyAlignment="1">
      <alignment horizontal="left"/>
    </xf>
    <xf numFmtId="14" fontId="5" fillId="0" borderId="18" xfId="0" applyNumberFormat="1" applyFont="1" applyBorder="1" applyAlignment="1">
      <alignment horizontal="left"/>
    </xf>
    <xf numFmtId="14" fontId="5" fillId="0" borderId="13" xfId="0" applyNumberFormat="1" applyFont="1" applyBorder="1" applyAlignment="1">
      <alignment horizontal="left"/>
    </xf>
    <xf numFmtId="0" fontId="7" fillId="6" borderId="19" xfId="0" applyFont="1" applyFill="1" applyBorder="1" applyAlignment="1">
      <alignment horizontal="center"/>
    </xf>
    <xf numFmtId="0" fontId="3" fillId="0" borderId="20" xfId="0" applyFont="1" applyBorder="1"/>
    <xf numFmtId="0" fontId="7" fillId="8" borderId="0" xfId="0" applyFont="1" applyFill="1" applyAlignment="1">
      <alignment horizontal="center"/>
    </xf>
    <xf numFmtId="0" fontId="7" fillId="8" borderId="20" xfId="0" applyFont="1" applyFill="1" applyBorder="1" applyAlignment="1">
      <alignment horizontal="center"/>
    </xf>
    <xf numFmtId="1" fontId="7" fillId="8" borderId="27" xfId="0" applyNumberFormat="1" applyFont="1" applyFill="1" applyBorder="1" applyAlignment="1">
      <alignment horizontal="center"/>
    </xf>
    <xf numFmtId="1" fontId="3" fillId="0" borderId="27" xfId="0" applyNumberFormat="1" applyFont="1" applyBorder="1"/>
    <xf numFmtId="1" fontId="3" fillId="0" borderId="24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SPRINT</a:t>
            </a:r>
            <a:r>
              <a:rPr lang="en-GB" baseline="0"/>
              <a:t> 1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1'!$D$105:$E$105</c:f>
              <c:strCache>
                <c:ptCount val="2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1'!$G$16:$V$16</c:f>
              <c:numCache>
                <c:formatCode>d\-mmm</c:formatCode>
                <c:ptCount val="16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</c:numCache>
            </c:numRef>
          </c:cat>
          <c:val>
            <c:numRef>
              <c:f>'Sprint 1'!$G$105:$V$105</c:f>
              <c:numCache>
                <c:formatCode>General</c:formatCode>
                <c:ptCount val="16"/>
                <c:pt idx="0">
                  <c:v>168</c:v>
                </c:pt>
                <c:pt idx="1">
                  <c:v>164</c:v>
                </c:pt>
                <c:pt idx="2">
                  <c:v>160</c:v>
                </c:pt>
                <c:pt idx="3">
                  <c:v>147</c:v>
                </c:pt>
                <c:pt idx="4">
                  <c:v>132</c:v>
                </c:pt>
                <c:pt idx="5">
                  <c:v>119</c:v>
                </c:pt>
                <c:pt idx="6">
                  <c:v>97</c:v>
                </c:pt>
                <c:pt idx="7">
                  <c:v>87</c:v>
                </c:pt>
                <c:pt idx="8">
                  <c:v>75</c:v>
                </c:pt>
                <c:pt idx="9">
                  <c:v>57</c:v>
                </c:pt>
                <c:pt idx="10">
                  <c:v>52</c:v>
                </c:pt>
                <c:pt idx="11">
                  <c:v>48</c:v>
                </c:pt>
                <c:pt idx="12">
                  <c:v>38</c:v>
                </c:pt>
                <c:pt idx="13">
                  <c:v>28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8-4ED2-942C-DF1B59369B65}"/>
            </c:ext>
          </c:extLst>
        </c:ser>
        <c:ser>
          <c:idx val="1"/>
          <c:order val="1"/>
          <c:tx>
            <c:strRef>
              <c:f>'Sprint 1'!$D$106:$E$106</c:f>
              <c:strCache>
                <c:ptCount val="2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1'!$G$16:$V$16</c:f>
              <c:numCache>
                <c:formatCode>d\-mmm</c:formatCode>
                <c:ptCount val="16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</c:numCache>
            </c:numRef>
          </c:cat>
          <c:val>
            <c:numRef>
              <c:f>'Sprint 1'!$G$106:$V$106</c:f>
              <c:numCache>
                <c:formatCode>General</c:formatCode>
                <c:ptCount val="16"/>
                <c:pt idx="0">
                  <c:v>168</c:v>
                </c:pt>
                <c:pt idx="1">
                  <c:v>164</c:v>
                </c:pt>
                <c:pt idx="2">
                  <c:v>160</c:v>
                </c:pt>
                <c:pt idx="3">
                  <c:v>148</c:v>
                </c:pt>
                <c:pt idx="4">
                  <c:v>130</c:v>
                </c:pt>
                <c:pt idx="5">
                  <c:v>119</c:v>
                </c:pt>
                <c:pt idx="6">
                  <c:v>100</c:v>
                </c:pt>
                <c:pt idx="7">
                  <c:v>87</c:v>
                </c:pt>
                <c:pt idx="8">
                  <c:v>73</c:v>
                </c:pt>
                <c:pt idx="9">
                  <c:v>57</c:v>
                </c:pt>
                <c:pt idx="10">
                  <c:v>52</c:v>
                </c:pt>
                <c:pt idx="11">
                  <c:v>48</c:v>
                </c:pt>
                <c:pt idx="12">
                  <c:v>38</c:v>
                </c:pt>
                <c:pt idx="13">
                  <c:v>28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E8-4ED2-942C-DF1B59369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117583"/>
        <c:axId val="709118063"/>
      </c:lineChart>
      <c:dateAx>
        <c:axId val="709117583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9118063"/>
        <c:crosses val="autoZero"/>
        <c:auto val="1"/>
        <c:lblOffset val="100"/>
        <c:baseTimeUnit val="days"/>
      </c:dateAx>
      <c:valAx>
        <c:axId val="7091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911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SPRINT</a:t>
            </a:r>
            <a:r>
              <a:rPr lang="en-GB" baseline="0"/>
              <a:t> 2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2'!$D$108:$E$108</c:f>
              <c:strCache>
                <c:ptCount val="2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2'!$G$16:$Y$16</c:f>
              <c:numCache>
                <c:formatCode>d\-mmm</c:formatCode>
                <c:ptCount val="19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</c:numCache>
            </c:numRef>
          </c:cat>
          <c:val>
            <c:numRef>
              <c:f>'Sprint 2'!$G$108:$Y$108</c:f>
              <c:numCache>
                <c:formatCode>General</c:formatCode>
                <c:ptCount val="19"/>
                <c:pt idx="0">
                  <c:v>173</c:v>
                </c:pt>
                <c:pt idx="1">
                  <c:v>169</c:v>
                </c:pt>
                <c:pt idx="2">
                  <c:v>165</c:v>
                </c:pt>
                <c:pt idx="3">
                  <c:v>155</c:v>
                </c:pt>
                <c:pt idx="4">
                  <c:v>135</c:v>
                </c:pt>
                <c:pt idx="5">
                  <c:v>127</c:v>
                </c:pt>
                <c:pt idx="6">
                  <c:v>105</c:v>
                </c:pt>
                <c:pt idx="7">
                  <c:v>94</c:v>
                </c:pt>
                <c:pt idx="8">
                  <c:v>88</c:v>
                </c:pt>
                <c:pt idx="9">
                  <c:v>71</c:v>
                </c:pt>
                <c:pt idx="10">
                  <c:v>54</c:v>
                </c:pt>
                <c:pt idx="11">
                  <c:v>52</c:v>
                </c:pt>
                <c:pt idx="12">
                  <c:v>42</c:v>
                </c:pt>
                <c:pt idx="13">
                  <c:v>30</c:v>
                </c:pt>
                <c:pt idx="14">
                  <c:v>24</c:v>
                </c:pt>
                <c:pt idx="15">
                  <c:v>20</c:v>
                </c:pt>
                <c:pt idx="16">
                  <c:v>14</c:v>
                </c:pt>
                <c:pt idx="17">
                  <c:v>10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29-4FA8-BDFF-5C509FB90B52}"/>
            </c:ext>
          </c:extLst>
        </c:ser>
        <c:ser>
          <c:idx val="1"/>
          <c:order val="1"/>
          <c:tx>
            <c:strRef>
              <c:f>'Sprint 2'!$D$109:$E$109</c:f>
              <c:strCache>
                <c:ptCount val="2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2'!$G$16:$Y$16</c:f>
              <c:numCache>
                <c:formatCode>d\-mmm</c:formatCode>
                <c:ptCount val="19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</c:numCache>
            </c:numRef>
          </c:cat>
          <c:val>
            <c:numRef>
              <c:f>'Sprint 2'!$G$109:$Y$109</c:f>
              <c:numCache>
                <c:formatCode>General</c:formatCode>
                <c:ptCount val="19"/>
                <c:pt idx="0">
                  <c:v>173</c:v>
                </c:pt>
                <c:pt idx="1">
                  <c:v>169</c:v>
                </c:pt>
                <c:pt idx="2">
                  <c:v>165</c:v>
                </c:pt>
                <c:pt idx="3">
                  <c:v>153</c:v>
                </c:pt>
                <c:pt idx="4">
                  <c:v>135</c:v>
                </c:pt>
                <c:pt idx="5">
                  <c:v>124</c:v>
                </c:pt>
                <c:pt idx="6">
                  <c:v>105</c:v>
                </c:pt>
                <c:pt idx="7">
                  <c:v>95</c:v>
                </c:pt>
                <c:pt idx="8">
                  <c:v>84</c:v>
                </c:pt>
                <c:pt idx="9">
                  <c:v>69</c:v>
                </c:pt>
                <c:pt idx="10">
                  <c:v>57</c:v>
                </c:pt>
                <c:pt idx="11">
                  <c:v>52</c:v>
                </c:pt>
                <c:pt idx="12">
                  <c:v>40</c:v>
                </c:pt>
                <c:pt idx="13">
                  <c:v>30</c:v>
                </c:pt>
                <c:pt idx="14">
                  <c:v>24</c:v>
                </c:pt>
                <c:pt idx="15">
                  <c:v>20</c:v>
                </c:pt>
                <c:pt idx="16">
                  <c:v>14</c:v>
                </c:pt>
                <c:pt idx="17">
                  <c:v>10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29-4FA8-BDFF-5C509FB9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117583"/>
        <c:axId val="709118063"/>
      </c:lineChart>
      <c:dateAx>
        <c:axId val="709117583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9118063"/>
        <c:crosses val="autoZero"/>
        <c:auto val="1"/>
        <c:lblOffset val="100"/>
        <c:baseTimeUnit val="days"/>
      </c:dateAx>
      <c:valAx>
        <c:axId val="7091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911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SPRINT</a:t>
            </a:r>
            <a:r>
              <a:rPr lang="en-GB" baseline="0"/>
              <a:t> 3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3'!$D$120:$E$120</c:f>
              <c:strCache>
                <c:ptCount val="2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3'!$G$16:$X$16</c:f>
              <c:numCache>
                <c:formatCode>d\-mmm</c:formatCode>
                <c:ptCount val="18"/>
                <c:pt idx="0">
                  <c:v>46136</c:v>
                </c:pt>
                <c:pt idx="1">
                  <c:v>46137</c:v>
                </c:pt>
                <c:pt idx="2">
                  <c:v>46138</c:v>
                </c:pt>
                <c:pt idx="3">
                  <c:v>46139</c:v>
                </c:pt>
                <c:pt idx="4">
                  <c:v>46140</c:v>
                </c:pt>
                <c:pt idx="5">
                  <c:v>46141</c:v>
                </c:pt>
                <c:pt idx="6">
                  <c:v>46142</c:v>
                </c:pt>
                <c:pt idx="7">
                  <c:v>46143</c:v>
                </c:pt>
                <c:pt idx="8">
                  <c:v>46144</c:v>
                </c:pt>
                <c:pt idx="9">
                  <c:v>46145</c:v>
                </c:pt>
                <c:pt idx="10">
                  <c:v>46146</c:v>
                </c:pt>
                <c:pt idx="11">
                  <c:v>46147</c:v>
                </c:pt>
                <c:pt idx="12">
                  <c:v>46148</c:v>
                </c:pt>
                <c:pt idx="13">
                  <c:v>46149</c:v>
                </c:pt>
                <c:pt idx="14">
                  <c:v>46150</c:v>
                </c:pt>
                <c:pt idx="15">
                  <c:v>46151</c:v>
                </c:pt>
                <c:pt idx="16">
                  <c:v>46152</c:v>
                </c:pt>
                <c:pt idx="17">
                  <c:v>46153</c:v>
                </c:pt>
              </c:numCache>
            </c:numRef>
          </c:cat>
          <c:val>
            <c:numRef>
              <c:f>'Sprint 3'!$G$120:$X$120</c:f>
              <c:numCache>
                <c:formatCode>General</c:formatCode>
                <c:ptCount val="18"/>
                <c:pt idx="0">
                  <c:v>163</c:v>
                </c:pt>
                <c:pt idx="1">
                  <c:v>155</c:v>
                </c:pt>
                <c:pt idx="2">
                  <c:v>147</c:v>
                </c:pt>
                <c:pt idx="3">
                  <c:v>130</c:v>
                </c:pt>
                <c:pt idx="4">
                  <c:v>115</c:v>
                </c:pt>
                <c:pt idx="5">
                  <c:v>101</c:v>
                </c:pt>
                <c:pt idx="6">
                  <c:v>88</c:v>
                </c:pt>
                <c:pt idx="7">
                  <c:v>81</c:v>
                </c:pt>
                <c:pt idx="8">
                  <c:v>65</c:v>
                </c:pt>
                <c:pt idx="9">
                  <c:v>56</c:v>
                </c:pt>
                <c:pt idx="10">
                  <c:v>56</c:v>
                </c:pt>
                <c:pt idx="11">
                  <c:v>40</c:v>
                </c:pt>
                <c:pt idx="12">
                  <c:v>35</c:v>
                </c:pt>
                <c:pt idx="13">
                  <c:v>25</c:v>
                </c:pt>
                <c:pt idx="14">
                  <c:v>20</c:v>
                </c:pt>
                <c:pt idx="15">
                  <c:v>15</c:v>
                </c:pt>
                <c:pt idx="16">
                  <c:v>10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9-4213-B758-DB7E856285CE}"/>
            </c:ext>
          </c:extLst>
        </c:ser>
        <c:ser>
          <c:idx val="1"/>
          <c:order val="1"/>
          <c:tx>
            <c:strRef>
              <c:f>'Sprint 3'!$D$121:$E$121</c:f>
              <c:strCache>
                <c:ptCount val="2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3'!$G$16:$X$16</c:f>
              <c:numCache>
                <c:formatCode>d\-mmm</c:formatCode>
                <c:ptCount val="18"/>
                <c:pt idx="0">
                  <c:v>46136</c:v>
                </c:pt>
                <c:pt idx="1">
                  <c:v>46137</c:v>
                </c:pt>
                <c:pt idx="2">
                  <c:v>46138</c:v>
                </c:pt>
                <c:pt idx="3">
                  <c:v>46139</c:v>
                </c:pt>
                <c:pt idx="4">
                  <c:v>46140</c:v>
                </c:pt>
                <c:pt idx="5">
                  <c:v>46141</c:v>
                </c:pt>
                <c:pt idx="6">
                  <c:v>46142</c:v>
                </c:pt>
                <c:pt idx="7">
                  <c:v>46143</c:v>
                </c:pt>
                <c:pt idx="8">
                  <c:v>46144</c:v>
                </c:pt>
                <c:pt idx="9">
                  <c:v>46145</c:v>
                </c:pt>
                <c:pt idx="10">
                  <c:v>46146</c:v>
                </c:pt>
                <c:pt idx="11">
                  <c:v>46147</c:v>
                </c:pt>
                <c:pt idx="12">
                  <c:v>46148</c:v>
                </c:pt>
                <c:pt idx="13">
                  <c:v>46149</c:v>
                </c:pt>
                <c:pt idx="14">
                  <c:v>46150</c:v>
                </c:pt>
                <c:pt idx="15">
                  <c:v>46151</c:v>
                </c:pt>
                <c:pt idx="16">
                  <c:v>46152</c:v>
                </c:pt>
                <c:pt idx="17">
                  <c:v>46153</c:v>
                </c:pt>
              </c:numCache>
            </c:numRef>
          </c:cat>
          <c:val>
            <c:numRef>
              <c:f>'Sprint 3'!$G$121:$X$121</c:f>
              <c:numCache>
                <c:formatCode>General</c:formatCode>
                <c:ptCount val="18"/>
                <c:pt idx="0">
                  <c:v>163</c:v>
                </c:pt>
                <c:pt idx="1">
                  <c:v>155</c:v>
                </c:pt>
                <c:pt idx="2">
                  <c:v>144</c:v>
                </c:pt>
                <c:pt idx="3">
                  <c:v>125</c:v>
                </c:pt>
                <c:pt idx="4">
                  <c:v>116</c:v>
                </c:pt>
                <c:pt idx="5">
                  <c:v>95</c:v>
                </c:pt>
                <c:pt idx="6">
                  <c:v>88</c:v>
                </c:pt>
                <c:pt idx="7">
                  <c:v>73</c:v>
                </c:pt>
                <c:pt idx="8">
                  <c:v>61</c:v>
                </c:pt>
                <c:pt idx="9">
                  <c:v>56</c:v>
                </c:pt>
                <c:pt idx="10">
                  <c:v>50</c:v>
                </c:pt>
                <c:pt idx="11">
                  <c:v>40</c:v>
                </c:pt>
                <c:pt idx="12">
                  <c:v>30</c:v>
                </c:pt>
                <c:pt idx="13">
                  <c:v>25</c:v>
                </c:pt>
                <c:pt idx="14">
                  <c:v>20</c:v>
                </c:pt>
                <c:pt idx="15">
                  <c:v>15</c:v>
                </c:pt>
                <c:pt idx="16">
                  <c:v>10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89-4213-B758-DB7E85628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117583"/>
        <c:axId val="709118063"/>
      </c:lineChart>
      <c:dateAx>
        <c:axId val="709117583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9118063"/>
        <c:crosses val="autoZero"/>
        <c:auto val="1"/>
        <c:lblOffset val="100"/>
        <c:baseTimeUnit val="days"/>
      </c:dateAx>
      <c:valAx>
        <c:axId val="7091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0911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140</xdr:row>
      <xdr:rowOff>0</xdr:rowOff>
    </xdr:from>
    <xdr:ext cx="400050" cy="200025"/>
    <xdr:pic>
      <xdr:nvPicPr>
        <xdr:cNvPr id="3" name="image1.png" title="Hình ảnh">
          <a:extLst>
            <a:ext uri="{FF2B5EF4-FFF2-40B4-BE49-F238E27FC236}">
              <a16:creationId xmlns:a16="http://schemas.microsoft.com/office/drawing/2014/main" id="{DDA957E4-F882-4715-966B-A07497CEF2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2453580"/>
          <a:ext cx="400050" cy="200025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3635657</xdr:colOff>
      <xdr:row>109</xdr:row>
      <xdr:rowOff>35411</xdr:rowOff>
    </xdr:from>
    <xdr:to>
      <xdr:col>15</xdr:col>
      <xdr:colOff>699864</xdr:colOff>
      <xdr:row>135</xdr:row>
      <xdr:rowOff>182956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4F2DFB-613F-4F97-ACC0-556921BE2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143</xdr:row>
      <xdr:rowOff>0</xdr:rowOff>
    </xdr:from>
    <xdr:ext cx="400050" cy="20002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1C548682-0204-49C8-8C3C-D9AFB59756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4373820"/>
          <a:ext cx="400050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400050" cy="200025"/>
    <xdr:pic>
      <xdr:nvPicPr>
        <xdr:cNvPr id="5" name="image1.png" title="Hình ảnh">
          <a:extLst>
            <a:ext uri="{FF2B5EF4-FFF2-40B4-BE49-F238E27FC236}">
              <a16:creationId xmlns:a16="http://schemas.microsoft.com/office/drawing/2014/main" id="{1D2B09A5-8EDC-4991-9CE1-7707426677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3200340"/>
          <a:ext cx="400050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400050" cy="200025"/>
    <xdr:pic>
      <xdr:nvPicPr>
        <xdr:cNvPr id="7" name="image1.png" title="Hình ảnh">
          <a:extLst>
            <a:ext uri="{FF2B5EF4-FFF2-40B4-BE49-F238E27FC236}">
              <a16:creationId xmlns:a16="http://schemas.microsoft.com/office/drawing/2014/main" id="{C6ABA5CA-E4D3-4B9B-BFBF-FA779B9C7D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3200340"/>
          <a:ext cx="400050" cy="200025"/>
        </a:xfrm>
        <a:prstGeom prst="rect">
          <a:avLst/>
        </a:prstGeom>
        <a:noFill/>
      </xdr:spPr>
    </xdr:pic>
    <xdr:clientData fLocksWithSheet="0"/>
  </xdr:oneCellAnchor>
  <xdr:twoCellAnchor>
    <xdr:from>
      <xdr:col>3</xdr:col>
      <xdr:colOff>353786</xdr:colOff>
      <xdr:row>111</xdr:row>
      <xdr:rowOff>122464</xdr:rowOff>
    </xdr:from>
    <xdr:to>
      <xdr:col>17</xdr:col>
      <xdr:colOff>98396</xdr:colOff>
      <xdr:row>137</xdr:row>
      <xdr:rowOff>185523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735BBD-295B-4DB0-9785-EF7D69F70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155</xdr:row>
      <xdr:rowOff>0</xdr:rowOff>
    </xdr:from>
    <xdr:ext cx="400050" cy="200025"/>
    <xdr:pic>
      <xdr:nvPicPr>
        <xdr:cNvPr id="3" name="image1.png" title="Hình ảnh">
          <a:extLst>
            <a:ext uri="{FF2B5EF4-FFF2-40B4-BE49-F238E27FC236}">
              <a16:creationId xmlns:a16="http://schemas.microsoft.com/office/drawing/2014/main" id="{B61216C6-89B6-4719-B312-18FF83C56A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4373820"/>
          <a:ext cx="400050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400050" cy="200025"/>
    <xdr:pic>
      <xdr:nvPicPr>
        <xdr:cNvPr id="5" name="image1.png" title="Hình ảnh">
          <a:extLst>
            <a:ext uri="{FF2B5EF4-FFF2-40B4-BE49-F238E27FC236}">
              <a16:creationId xmlns:a16="http://schemas.microsoft.com/office/drawing/2014/main" id="{F86D5796-4A82-4319-963E-CE4515CFC2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3200340"/>
          <a:ext cx="400050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400050" cy="200025"/>
    <xdr:pic>
      <xdr:nvPicPr>
        <xdr:cNvPr id="7" name="image1.png" title="Hình ảnh">
          <a:extLst>
            <a:ext uri="{FF2B5EF4-FFF2-40B4-BE49-F238E27FC236}">
              <a16:creationId xmlns:a16="http://schemas.microsoft.com/office/drawing/2014/main" id="{6889C0F3-A20E-4017-8835-F111C8072B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3200340"/>
          <a:ext cx="400050" cy="200025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4150178</xdr:colOff>
      <xdr:row>123</xdr:row>
      <xdr:rowOff>108858</xdr:rowOff>
    </xdr:from>
    <xdr:to>
      <xdr:col>16</xdr:col>
      <xdr:colOff>411361</xdr:colOff>
      <xdr:row>149</xdr:row>
      <xdr:rowOff>171917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C59412E-937C-4E41-AB55-49CCFA4ED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1"/>
  <sheetViews>
    <sheetView tabSelected="1" topLeftCell="A100" zoomScale="67" zoomScaleNormal="67" workbookViewId="0">
      <selection activeCell="S121" sqref="S121"/>
    </sheetView>
  </sheetViews>
  <sheetFormatPr defaultColWidth="14.44140625" defaultRowHeight="19.95" customHeight="1" x14ac:dyDescent="0.3"/>
  <cols>
    <col min="1" max="1" width="19.44140625" customWidth="1"/>
    <col min="2" max="2" width="20" customWidth="1"/>
    <col min="3" max="3" width="54.77734375" customWidth="1"/>
    <col min="4" max="4" width="23.6640625" customWidth="1"/>
    <col min="5" max="5" width="10.44140625" customWidth="1"/>
    <col min="6" max="6" width="7.44140625" customWidth="1"/>
    <col min="7" max="10" width="9" customWidth="1"/>
    <col min="11" max="11" width="9.109375" customWidth="1"/>
    <col min="12" max="12" width="10.77734375" customWidth="1"/>
    <col min="13" max="14" width="8.88671875" customWidth="1"/>
    <col min="15" max="15" width="9.109375" customWidth="1"/>
    <col min="16" max="16" width="10.77734375" customWidth="1"/>
    <col min="17" max="17" width="9.109375" customWidth="1"/>
    <col min="18" max="18" width="9.44140625" customWidth="1"/>
    <col min="19" max="19" width="10" customWidth="1"/>
    <col min="20" max="20" width="9.44140625" customWidth="1"/>
    <col min="21" max="22" width="11.44140625" customWidth="1"/>
  </cols>
  <sheetData>
    <row r="1" spans="1:29" ht="19.95" customHeight="1" x14ac:dyDescent="0.3">
      <c r="A1" s="13" t="s">
        <v>3</v>
      </c>
      <c r="B1" s="87" t="s">
        <v>52</v>
      </c>
      <c r="C1" s="88"/>
      <c r="D1" s="88"/>
      <c r="E1" s="89"/>
      <c r="F1" s="14"/>
      <c r="G1" s="14"/>
      <c r="H1" s="15"/>
      <c r="I1" s="15"/>
      <c r="J1" s="15"/>
      <c r="K1" s="15"/>
      <c r="L1" s="15"/>
      <c r="M1" s="15"/>
      <c r="N1" s="15"/>
      <c r="O1" s="15"/>
      <c r="P1" s="1"/>
      <c r="Q1" s="1"/>
      <c r="R1" s="15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9.95" customHeight="1" x14ac:dyDescent="0.3">
      <c r="A2" s="13" t="s">
        <v>2</v>
      </c>
      <c r="B2" s="87" t="s">
        <v>4</v>
      </c>
      <c r="C2" s="88"/>
      <c r="D2" s="88"/>
      <c r="E2" s="89"/>
      <c r="F2" s="14"/>
      <c r="G2" s="14"/>
      <c r="H2" s="15"/>
      <c r="I2" s="15"/>
      <c r="J2" s="15"/>
      <c r="K2" s="15"/>
      <c r="L2" s="15"/>
      <c r="M2" s="15"/>
      <c r="N2" s="15"/>
      <c r="O2" s="15"/>
      <c r="P2" s="1"/>
      <c r="Q2" s="1"/>
      <c r="R2" s="1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19.95" customHeight="1" x14ac:dyDescent="0.3">
      <c r="A3" s="13" t="s">
        <v>1</v>
      </c>
      <c r="B3" s="90">
        <v>46101</v>
      </c>
      <c r="C3" s="91"/>
      <c r="D3" s="91"/>
      <c r="E3" s="92"/>
      <c r="F3" s="17"/>
      <c r="G3" s="17"/>
      <c r="H3" s="15"/>
      <c r="I3" s="15"/>
      <c r="J3" s="15"/>
      <c r="K3" s="15"/>
      <c r="L3" s="15"/>
      <c r="M3" s="15"/>
      <c r="N3" s="15"/>
      <c r="O3" s="15"/>
      <c r="P3" s="1"/>
      <c r="Q3" s="1"/>
      <c r="R3" s="1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 ht="19.95" customHeight="1" x14ac:dyDescent="0.3">
      <c r="A4" s="13" t="s">
        <v>0</v>
      </c>
      <c r="B4" s="90">
        <v>46116</v>
      </c>
      <c r="C4" s="91"/>
      <c r="D4" s="91"/>
      <c r="E4" s="92"/>
      <c r="F4" s="17"/>
      <c r="G4" s="17"/>
      <c r="H4" s="15"/>
      <c r="I4" s="15"/>
      <c r="J4" s="15"/>
      <c r="K4" s="15"/>
      <c r="L4" s="15"/>
      <c r="M4" s="15"/>
      <c r="N4" s="15"/>
      <c r="O4" s="15"/>
      <c r="P4" s="1"/>
      <c r="Q4" s="1"/>
      <c r="R4" s="1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ht="19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 ht="19.95" customHeight="1" x14ac:dyDescent="0.3">
      <c r="A6" s="93" t="s">
        <v>24</v>
      </c>
      <c r="B6" s="94"/>
      <c r="C6" s="94"/>
      <c r="D6" s="94"/>
      <c r="E6" s="94"/>
      <c r="F6" s="94"/>
      <c r="G6" s="94"/>
      <c r="H6" s="94"/>
      <c r="I6" s="71"/>
      <c r="J6" s="1"/>
      <c r="K6" s="18"/>
      <c r="L6" s="75" t="s">
        <v>25</v>
      </c>
      <c r="M6" s="76"/>
      <c r="N6" s="76"/>
      <c r="O6" s="1"/>
      <c r="P6" s="1"/>
      <c r="Q6" s="1"/>
      <c r="R6" s="1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 ht="19.95" customHeight="1" x14ac:dyDescent="0.3">
      <c r="A7" s="19" t="s">
        <v>26</v>
      </c>
      <c r="B7" s="95" t="s">
        <v>27</v>
      </c>
      <c r="C7" s="84"/>
      <c r="D7" s="20" t="s">
        <v>9</v>
      </c>
      <c r="E7" s="96" t="s">
        <v>18</v>
      </c>
      <c r="F7" s="94"/>
      <c r="G7" s="94"/>
      <c r="H7" s="94"/>
      <c r="I7" s="71"/>
      <c r="J7" s="1"/>
      <c r="K7" s="21"/>
      <c r="L7" s="75" t="s">
        <v>28</v>
      </c>
      <c r="M7" s="76"/>
      <c r="N7" s="76"/>
      <c r="O7" s="1"/>
      <c r="P7" s="1"/>
      <c r="Q7" s="1"/>
      <c r="R7" s="1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 ht="19.95" customHeight="1" x14ac:dyDescent="0.3">
      <c r="A8" s="22">
        <v>1</v>
      </c>
      <c r="B8" s="70" t="s">
        <v>29</v>
      </c>
      <c r="C8" s="71"/>
      <c r="D8" s="23">
        <f xml:space="preserve"> SUMIF(D17:D104, "Hưng",E17:E104) + SUMIF(D17:D104, "All Team", E17:E104)/5 + SUMIF(D17:D104, "Hưng, Khải", E17:E104)/2</f>
        <v>40</v>
      </c>
      <c r="E8" s="72">
        <f xml:space="preserve"> SUMIF(D17:D104, "Hưng",F17:F104) + SUMIF(D17:D104, "All Team", F17:F104)/5+ SUMIF(D17:D104, "Hưng, Khải", F17:F104)/2</f>
        <v>42.8</v>
      </c>
      <c r="F8" s="73"/>
      <c r="G8" s="73"/>
      <c r="H8" s="73"/>
      <c r="I8" s="74"/>
      <c r="J8" s="1"/>
      <c r="K8" s="24"/>
      <c r="L8" s="75" t="s">
        <v>21</v>
      </c>
      <c r="M8" s="76"/>
      <c r="N8" s="76"/>
      <c r="O8" s="1"/>
      <c r="P8" s="1"/>
      <c r="Q8" s="1"/>
      <c r="R8" s="1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ht="19.95" customHeight="1" x14ac:dyDescent="0.3">
      <c r="A9" s="22">
        <v>2</v>
      </c>
      <c r="B9" s="77" t="s">
        <v>30</v>
      </c>
      <c r="C9" s="78"/>
      <c r="D9" s="23">
        <f xml:space="preserve"> SUMIF(D17:D104, "Khải",E17:E104) + SUMIF(D17:D104, "All Team", E17:E104)/5 + SUMIF(D17:D104, "Hưng, Khải", E17:E104)/2</f>
        <v>40</v>
      </c>
      <c r="E9" s="73">
        <f ca="1" xml:space="preserve"> SUMIF(D17:D104, "Khải",F17:F104) + SUMIF(D17:D104, "All Team", F17:F104)/5 + SUMIF(D17:D104, "Hưng, Khải", F17:F103)/2</f>
        <v>40.799999999999997</v>
      </c>
      <c r="F9" s="79"/>
      <c r="G9" s="79"/>
      <c r="H9" s="79"/>
      <c r="I9" s="80"/>
      <c r="J9" s="1"/>
      <c r="K9" s="15"/>
      <c r="L9" s="81"/>
      <c r="M9" s="82"/>
      <c r="N9" s="82"/>
      <c r="O9" s="1"/>
      <c r="P9" s="1"/>
      <c r="Q9" s="1"/>
      <c r="R9" s="1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ht="19.95" customHeight="1" x14ac:dyDescent="0.3">
      <c r="A10" s="22">
        <v>3</v>
      </c>
      <c r="B10" s="77" t="s">
        <v>31</v>
      </c>
      <c r="C10" s="78"/>
      <c r="D10" s="23">
        <f xml:space="preserve"> SUMIF(D17:D104, "Lĩnh",E17:E104) + SUMIF(D17:D104, "All Team", E17:E104)/5</f>
        <v>28</v>
      </c>
      <c r="E10" s="73">
        <f xml:space="preserve"> SUMIF(D17:D104, "Lĩnh",F17:F104) + SUMIF(D17:D104, "All Team", F17:F104)/5</f>
        <v>29.8</v>
      </c>
      <c r="F10" s="79"/>
      <c r="G10" s="79"/>
      <c r="H10" s="79"/>
      <c r="I10" s="80"/>
      <c r="J10" s="1"/>
      <c r="K10" s="15"/>
      <c r="L10" s="81"/>
      <c r="M10" s="82"/>
      <c r="N10" s="82"/>
      <c r="O10" s="1"/>
      <c r="P10" s="1"/>
      <c r="Q10" s="1"/>
      <c r="R10" s="1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9.95" customHeight="1" x14ac:dyDescent="0.3">
      <c r="A11" s="22">
        <v>4</v>
      </c>
      <c r="B11" s="77" t="s">
        <v>53</v>
      </c>
      <c r="C11" s="78"/>
      <c r="D11" s="23">
        <f xml:space="preserve"> SUMIF(D17:D104, "Luyện",E17:E104) + SUMIF(D17:D104, "All Team", E17:E104)/5 + SUMIF(D17:D104, "Thúy, Luyện", E17:E104)/2</f>
        <v>38</v>
      </c>
      <c r="E11" s="73">
        <f xml:space="preserve"> SUMIF(D17:D104, "Luyện",F17:F104) + SUMIF(D17:D104, "All Team", F17:F104)/5 + SUMIF(D17:D104, "Thúy, Luyện", F17:F105)/2</f>
        <v>35.799999999999997</v>
      </c>
      <c r="F11" s="79"/>
      <c r="G11" s="79"/>
      <c r="H11" s="79"/>
      <c r="I11" s="80"/>
      <c r="J11" s="1"/>
      <c r="K11" s="1"/>
      <c r="L11" s="1"/>
      <c r="M11" s="1"/>
      <c r="N11" s="1"/>
      <c r="O11" s="1"/>
      <c r="P11" s="1"/>
      <c r="Q11" s="1"/>
      <c r="R11" s="1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ht="19.95" customHeight="1" x14ac:dyDescent="0.3">
      <c r="A12" s="25">
        <v>5</v>
      </c>
      <c r="B12" s="83" t="s">
        <v>54</v>
      </c>
      <c r="C12" s="84"/>
      <c r="D12" s="23">
        <f xml:space="preserve"> SUMIF(D17:D104, "Thúy",E17:E104) + SUMIF(D17:D104, "All Team", E17:E104)/5 + SUMIF(D17:D104, "Thúy, Luyện", E17:E104)/2</f>
        <v>28</v>
      </c>
      <c r="E12" s="73">
        <f xml:space="preserve"> SUMIF(D17:D104, "Thúy",F17:F104) + SUMIF(D17:D104, "All Team", F17:F104)/5 + SUMIF(D17:D104, "Thúy, Luyện", F17:F105)/2</f>
        <v>28.8</v>
      </c>
      <c r="F12" s="79"/>
      <c r="G12" s="79"/>
      <c r="H12" s="79"/>
      <c r="I12" s="80"/>
      <c r="J12" s="1"/>
      <c r="K12" s="1"/>
      <c r="L12" s="1"/>
      <c r="M12" s="1"/>
      <c r="N12" s="1"/>
      <c r="O12" s="1"/>
      <c r="P12" s="1"/>
      <c r="Q12" s="1"/>
      <c r="R12" s="1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 ht="19.95" customHeight="1" x14ac:dyDescent="0.3">
      <c r="A13" s="85" t="s">
        <v>32</v>
      </c>
      <c r="B13" s="86"/>
      <c r="C13" s="78"/>
      <c r="D13" s="26">
        <f>SUM(D8:D12)</f>
        <v>174</v>
      </c>
      <c r="E13" s="97">
        <f ca="1">SUM(E8:I12)</f>
        <v>178</v>
      </c>
      <c r="F13" s="98"/>
      <c r="G13" s="98"/>
      <c r="H13" s="98"/>
      <c r="I13" s="99"/>
      <c r="J13" s="1"/>
      <c r="K13" s="1"/>
      <c r="L13" s="1"/>
      <c r="M13" s="1"/>
      <c r="N13" s="1"/>
      <c r="O13" s="1"/>
      <c r="P13" s="1"/>
      <c r="Q13" s="1"/>
      <c r="R13" s="1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 ht="19.95" customHeight="1" x14ac:dyDescent="0.3">
      <c r="A14" s="1"/>
      <c r="B14" s="1"/>
      <c r="C14" s="1"/>
      <c r="D14" s="2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 ht="19.9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29" ht="60" customHeight="1" x14ac:dyDescent="0.3">
      <c r="A16" s="28" t="s">
        <v>5</v>
      </c>
      <c r="B16" s="28" t="s">
        <v>6</v>
      </c>
      <c r="C16" s="28" t="s">
        <v>7</v>
      </c>
      <c r="D16" s="43" t="s">
        <v>8</v>
      </c>
      <c r="E16" s="29" t="s">
        <v>33</v>
      </c>
      <c r="F16" s="30" t="s">
        <v>34</v>
      </c>
      <c r="G16" s="31">
        <v>46101</v>
      </c>
      <c r="H16" s="31">
        <v>46102</v>
      </c>
      <c r="I16" s="31">
        <v>46103</v>
      </c>
      <c r="J16" s="31">
        <v>46104</v>
      </c>
      <c r="K16" s="31">
        <v>46105</v>
      </c>
      <c r="L16" s="31">
        <v>46106</v>
      </c>
      <c r="M16" s="31">
        <v>46107</v>
      </c>
      <c r="N16" s="31">
        <v>46108</v>
      </c>
      <c r="O16" s="31">
        <v>46109</v>
      </c>
      <c r="P16" s="31">
        <v>46110</v>
      </c>
      <c r="Q16" s="31">
        <v>46111</v>
      </c>
      <c r="R16" s="31">
        <v>46112</v>
      </c>
      <c r="S16" s="31">
        <v>46113</v>
      </c>
      <c r="T16" s="31">
        <v>46114</v>
      </c>
      <c r="U16" s="31">
        <v>46115</v>
      </c>
      <c r="V16" s="31">
        <v>46116</v>
      </c>
      <c r="W16" s="16"/>
      <c r="X16" s="16"/>
      <c r="Y16" s="16"/>
      <c r="Z16" s="16"/>
      <c r="AA16" s="16"/>
    </row>
    <row r="17" spans="1:22" ht="19.95" customHeight="1" x14ac:dyDescent="0.3">
      <c r="A17" s="58" t="s">
        <v>35</v>
      </c>
      <c r="B17" s="59" t="s">
        <v>36</v>
      </c>
      <c r="C17" s="60"/>
      <c r="D17" s="44" t="s">
        <v>17</v>
      </c>
      <c r="E17" s="45">
        <v>10</v>
      </c>
      <c r="F17" s="45">
        <v>10</v>
      </c>
      <c r="G17" s="18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</row>
    <row r="18" spans="1:22" ht="19.95" customHeight="1" x14ac:dyDescent="0.3">
      <c r="A18" s="58"/>
      <c r="B18" s="59" t="s">
        <v>37</v>
      </c>
      <c r="C18" s="60"/>
      <c r="D18" s="45" t="s">
        <v>22</v>
      </c>
      <c r="E18" s="45">
        <v>4</v>
      </c>
      <c r="F18" s="45">
        <v>4</v>
      </c>
      <c r="G18" s="37">
        <v>4</v>
      </c>
      <c r="H18" s="18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</row>
    <row r="19" spans="1:22" ht="19.95" customHeight="1" x14ac:dyDescent="0.3">
      <c r="A19" s="58"/>
      <c r="B19" s="60" t="s">
        <v>38</v>
      </c>
      <c r="C19" s="61"/>
      <c r="D19" s="45" t="s">
        <v>23</v>
      </c>
      <c r="E19" s="45">
        <v>4</v>
      </c>
      <c r="F19" s="45">
        <v>4</v>
      </c>
      <c r="G19" s="37">
        <v>4</v>
      </c>
      <c r="H19" s="38">
        <v>4</v>
      </c>
      <c r="I19" s="18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</row>
    <row r="20" spans="1:22" ht="19.95" customHeight="1" x14ac:dyDescent="0.3">
      <c r="A20" s="58"/>
      <c r="B20" s="63" t="s">
        <v>39</v>
      </c>
      <c r="C20" s="41" t="s">
        <v>55</v>
      </c>
      <c r="D20" s="45" t="s">
        <v>43</v>
      </c>
      <c r="E20" s="45">
        <v>2</v>
      </c>
      <c r="F20" s="45">
        <v>2</v>
      </c>
      <c r="G20" s="37">
        <v>2</v>
      </c>
      <c r="H20" s="37">
        <v>2</v>
      </c>
      <c r="I20" s="37">
        <v>2</v>
      </c>
      <c r="J20" s="18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</row>
    <row r="21" spans="1:22" ht="19.95" customHeight="1" x14ac:dyDescent="0.3">
      <c r="A21" s="58"/>
      <c r="B21" s="63"/>
      <c r="C21" s="41" t="s">
        <v>56</v>
      </c>
      <c r="D21" s="45" t="s">
        <v>49</v>
      </c>
      <c r="E21" s="45">
        <v>2</v>
      </c>
      <c r="F21" s="45">
        <v>2</v>
      </c>
      <c r="G21" s="37">
        <v>2</v>
      </c>
      <c r="H21" s="37">
        <v>2</v>
      </c>
      <c r="I21" s="37">
        <v>2</v>
      </c>
      <c r="J21" s="18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</row>
    <row r="22" spans="1:22" ht="19.95" customHeight="1" x14ac:dyDescent="0.3">
      <c r="A22" s="58"/>
      <c r="B22" s="63"/>
      <c r="C22" s="41" t="s">
        <v>57</v>
      </c>
      <c r="D22" s="45" t="s">
        <v>40</v>
      </c>
      <c r="E22" s="45">
        <v>1</v>
      </c>
      <c r="F22" s="45">
        <v>1</v>
      </c>
      <c r="G22" s="37">
        <v>1</v>
      </c>
      <c r="H22" s="37">
        <v>1</v>
      </c>
      <c r="I22" s="37">
        <v>1</v>
      </c>
      <c r="J22" s="18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</row>
    <row r="23" spans="1:22" ht="19.95" customHeight="1" x14ac:dyDescent="0.3">
      <c r="A23" s="58"/>
      <c r="B23" s="63"/>
      <c r="C23" s="41" t="s">
        <v>58</v>
      </c>
      <c r="D23" s="44" t="s">
        <v>40</v>
      </c>
      <c r="E23" s="12">
        <v>2</v>
      </c>
      <c r="F23" s="12">
        <v>2</v>
      </c>
      <c r="G23" s="37">
        <v>2</v>
      </c>
      <c r="H23" s="37">
        <v>2</v>
      </c>
      <c r="I23" s="37">
        <v>2</v>
      </c>
      <c r="J23" s="18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</row>
    <row r="24" spans="1:22" ht="19.95" customHeight="1" x14ac:dyDescent="0.3">
      <c r="A24" s="58"/>
      <c r="B24" s="63"/>
      <c r="C24" s="41" t="s">
        <v>111</v>
      </c>
      <c r="D24" s="44" t="s">
        <v>22</v>
      </c>
      <c r="E24" s="12">
        <v>2</v>
      </c>
      <c r="F24" s="12">
        <v>3</v>
      </c>
      <c r="G24" s="37">
        <v>3</v>
      </c>
      <c r="H24" s="37">
        <v>3</v>
      </c>
      <c r="I24" s="37">
        <v>3</v>
      </c>
      <c r="J24" s="24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</row>
    <row r="25" spans="1:22" ht="19.95" customHeight="1" x14ac:dyDescent="0.3">
      <c r="A25" s="58"/>
      <c r="B25" s="63"/>
      <c r="C25" s="41"/>
      <c r="D25" s="44"/>
      <c r="E25" s="12"/>
      <c r="F25" s="12"/>
      <c r="G25" s="37"/>
      <c r="H25" s="37"/>
      <c r="I25" s="37"/>
      <c r="J25" s="24">
        <v>1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spans="1:22" ht="19.95" customHeight="1" x14ac:dyDescent="0.3">
      <c r="A26" s="58"/>
      <c r="B26" s="63"/>
      <c r="C26" s="41" t="s">
        <v>118</v>
      </c>
      <c r="D26" s="44" t="s">
        <v>22</v>
      </c>
      <c r="E26" s="12">
        <v>2</v>
      </c>
      <c r="F26" s="12">
        <v>2</v>
      </c>
      <c r="G26" s="37">
        <v>2</v>
      </c>
      <c r="H26" s="37">
        <v>2</v>
      </c>
      <c r="I26" s="37">
        <v>2</v>
      </c>
      <c r="J26" s="18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</row>
    <row r="27" spans="1:22" ht="19.95" customHeight="1" x14ac:dyDescent="0.3">
      <c r="A27" s="58"/>
      <c r="B27" s="63"/>
      <c r="C27" s="41" t="s">
        <v>59</v>
      </c>
      <c r="D27" s="44" t="s">
        <v>49</v>
      </c>
      <c r="E27" s="12">
        <v>5</v>
      </c>
      <c r="F27" s="12">
        <v>3</v>
      </c>
      <c r="G27" s="37">
        <v>3</v>
      </c>
      <c r="H27" s="37">
        <v>3</v>
      </c>
      <c r="I27" s="37">
        <v>3</v>
      </c>
      <c r="J27" s="37">
        <v>3</v>
      </c>
      <c r="K27" s="21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</row>
    <row r="28" spans="1:22" ht="19.95" customHeight="1" x14ac:dyDescent="0.3">
      <c r="A28" s="58"/>
      <c r="B28" s="63"/>
      <c r="C28" s="41"/>
      <c r="D28" s="44"/>
      <c r="E28" s="12"/>
      <c r="F28" s="12"/>
      <c r="G28" s="37"/>
      <c r="H28" s="37"/>
      <c r="I28" s="37"/>
      <c r="J28" s="37"/>
      <c r="K28" s="21">
        <v>2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ht="19.95" customHeight="1" x14ac:dyDescent="0.3">
      <c r="A29" s="58"/>
      <c r="B29" s="63"/>
      <c r="C29" s="41" t="s">
        <v>60</v>
      </c>
      <c r="D29" s="44" t="s">
        <v>50</v>
      </c>
      <c r="E29" s="12">
        <v>2</v>
      </c>
      <c r="F29" s="12">
        <v>2</v>
      </c>
      <c r="G29" s="37">
        <v>2</v>
      </c>
      <c r="H29" s="37">
        <v>2</v>
      </c>
      <c r="I29" s="37">
        <v>2</v>
      </c>
      <c r="J29" s="37">
        <v>2</v>
      </c>
      <c r="K29" s="18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</row>
    <row r="30" spans="1:22" ht="19.95" customHeight="1" x14ac:dyDescent="0.3">
      <c r="A30" s="58"/>
      <c r="B30" s="63"/>
      <c r="C30" s="41" t="s">
        <v>61</v>
      </c>
      <c r="D30" s="44" t="s">
        <v>43</v>
      </c>
      <c r="E30" s="12">
        <v>2</v>
      </c>
      <c r="F30" s="12">
        <v>2</v>
      </c>
      <c r="G30" s="37">
        <v>2</v>
      </c>
      <c r="H30" s="37">
        <v>2</v>
      </c>
      <c r="I30" s="37">
        <v>2</v>
      </c>
      <c r="J30" s="37">
        <v>2</v>
      </c>
      <c r="K30" s="18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</row>
    <row r="31" spans="1:22" ht="19.95" customHeight="1" x14ac:dyDescent="0.3">
      <c r="A31" s="58"/>
      <c r="B31" s="63"/>
      <c r="C31" s="41" t="s">
        <v>62</v>
      </c>
      <c r="D31" s="44" t="s">
        <v>50</v>
      </c>
      <c r="E31" s="12">
        <v>1</v>
      </c>
      <c r="F31" s="12">
        <v>1</v>
      </c>
      <c r="G31" s="37">
        <v>1</v>
      </c>
      <c r="H31" s="37">
        <v>1</v>
      </c>
      <c r="I31" s="37">
        <v>1</v>
      </c>
      <c r="J31" s="37">
        <v>1</v>
      </c>
      <c r="K31" s="18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</row>
    <row r="32" spans="1:22" ht="19.95" customHeight="1" x14ac:dyDescent="0.3">
      <c r="A32" s="58"/>
      <c r="B32" s="63"/>
      <c r="C32" s="33" t="s">
        <v>41</v>
      </c>
      <c r="D32" s="44" t="s">
        <v>17</v>
      </c>
      <c r="E32" s="44">
        <v>10</v>
      </c>
      <c r="F32" s="44">
        <v>10</v>
      </c>
      <c r="G32" s="37">
        <v>10</v>
      </c>
      <c r="H32" s="37">
        <v>10</v>
      </c>
      <c r="I32" s="37">
        <v>10</v>
      </c>
      <c r="J32" s="37">
        <v>10</v>
      </c>
      <c r="K32" s="18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</row>
    <row r="33" spans="1:22" ht="19.95" customHeight="1" x14ac:dyDescent="0.3">
      <c r="A33" s="58"/>
      <c r="B33" s="62" t="s">
        <v>42</v>
      </c>
      <c r="C33" s="41" t="s">
        <v>63</v>
      </c>
      <c r="D33" s="32" t="s">
        <v>49</v>
      </c>
      <c r="E33" s="45">
        <v>2</v>
      </c>
      <c r="F33" s="45">
        <v>2</v>
      </c>
      <c r="G33" s="42">
        <v>2</v>
      </c>
      <c r="H33" s="42">
        <v>2</v>
      </c>
      <c r="I33" s="42">
        <v>2</v>
      </c>
      <c r="J33" s="42">
        <v>2</v>
      </c>
      <c r="K33" s="42">
        <v>2</v>
      </c>
      <c r="L33" s="18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</row>
    <row r="34" spans="1:22" ht="19.95" customHeight="1" x14ac:dyDescent="0.3">
      <c r="A34" s="58"/>
      <c r="B34" s="63"/>
      <c r="C34" s="41" t="s">
        <v>64</v>
      </c>
      <c r="D34" s="32" t="s">
        <v>50</v>
      </c>
      <c r="E34" s="45">
        <v>2</v>
      </c>
      <c r="F34" s="45">
        <v>2</v>
      </c>
      <c r="G34" s="42">
        <v>2</v>
      </c>
      <c r="H34" s="42">
        <v>2</v>
      </c>
      <c r="I34" s="42">
        <v>2</v>
      </c>
      <c r="J34" s="42">
        <v>2</v>
      </c>
      <c r="K34" s="42">
        <v>2</v>
      </c>
      <c r="L34" s="18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</row>
    <row r="35" spans="1:22" ht="19.95" customHeight="1" x14ac:dyDescent="0.3">
      <c r="A35" s="58"/>
      <c r="B35" s="63"/>
      <c r="C35" s="41" t="s">
        <v>65</v>
      </c>
      <c r="D35" s="32" t="s">
        <v>40</v>
      </c>
      <c r="E35" s="45">
        <v>1</v>
      </c>
      <c r="F35" s="45">
        <v>1</v>
      </c>
      <c r="G35" s="42">
        <v>1</v>
      </c>
      <c r="H35" s="42">
        <v>1</v>
      </c>
      <c r="I35" s="42">
        <v>1</v>
      </c>
      <c r="J35" s="42">
        <v>1</v>
      </c>
      <c r="K35" s="40">
        <v>1</v>
      </c>
      <c r="L35" s="18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</row>
    <row r="36" spans="1:22" ht="19.95" customHeight="1" x14ac:dyDescent="0.3">
      <c r="A36" s="58"/>
      <c r="B36" s="63"/>
      <c r="C36" s="41" t="s">
        <v>66</v>
      </c>
      <c r="D36" s="32" t="s">
        <v>22</v>
      </c>
      <c r="E36" s="45">
        <v>1</v>
      </c>
      <c r="F36" s="45">
        <v>1</v>
      </c>
      <c r="G36" s="42">
        <v>1</v>
      </c>
      <c r="H36" s="42">
        <v>1</v>
      </c>
      <c r="I36" s="42">
        <v>1</v>
      </c>
      <c r="J36" s="42">
        <v>1</v>
      </c>
      <c r="K36" s="42">
        <v>1</v>
      </c>
      <c r="L36" s="18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</row>
    <row r="37" spans="1:22" ht="19.95" customHeight="1" x14ac:dyDescent="0.3">
      <c r="A37" s="58"/>
      <c r="B37" s="63"/>
      <c r="C37" s="41" t="s">
        <v>112</v>
      </c>
      <c r="D37" s="32" t="s">
        <v>49</v>
      </c>
      <c r="E37" s="45">
        <v>3</v>
      </c>
      <c r="F37" s="45">
        <v>3</v>
      </c>
      <c r="G37" s="42">
        <v>3</v>
      </c>
      <c r="H37" s="42">
        <v>3</v>
      </c>
      <c r="I37" s="42">
        <v>3</v>
      </c>
      <c r="J37" s="42">
        <v>3</v>
      </c>
      <c r="K37" s="42">
        <v>3</v>
      </c>
      <c r="L37" s="18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</row>
    <row r="38" spans="1:22" ht="19.95" customHeight="1" x14ac:dyDescent="0.3">
      <c r="A38" s="58"/>
      <c r="B38" s="63"/>
      <c r="C38" s="41" t="s">
        <v>119</v>
      </c>
      <c r="D38" s="32" t="s">
        <v>22</v>
      </c>
      <c r="E38" s="45">
        <v>2</v>
      </c>
      <c r="F38" s="45">
        <v>2</v>
      </c>
      <c r="G38" s="42">
        <v>2</v>
      </c>
      <c r="H38" s="42">
        <v>2</v>
      </c>
      <c r="I38" s="42">
        <v>2</v>
      </c>
      <c r="J38" s="42">
        <v>2</v>
      </c>
      <c r="K38" s="42">
        <v>2</v>
      </c>
      <c r="L38" s="18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</row>
    <row r="39" spans="1:22" ht="19.95" customHeight="1" x14ac:dyDescent="0.3">
      <c r="A39" s="58"/>
      <c r="B39" s="63"/>
      <c r="C39" s="41" t="s">
        <v>67</v>
      </c>
      <c r="D39" s="32" t="s">
        <v>49</v>
      </c>
      <c r="E39" s="45">
        <v>4</v>
      </c>
      <c r="F39" s="45">
        <v>3</v>
      </c>
      <c r="G39" s="42">
        <v>3</v>
      </c>
      <c r="H39" s="42">
        <v>3</v>
      </c>
      <c r="I39" s="42">
        <v>3</v>
      </c>
      <c r="J39" s="42">
        <v>3</v>
      </c>
      <c r="K39" s="42">
        <v>3</v>
      </c>
      <c r="L39" s="42">
        <v>3</v>
      </c>
      <c r="M39" s="21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</row>
    <row r="40" spans="1:22" ht="19.95" customHeight="1" x14ac:dyDescent="0.3">
      <c r="A40" s="58"/>
      <c r="B40" s="63"/>
      <c r="C40" s="41"/>
      <c r="D40" s="32"/>
      <c r="E40" s="45"/>
      <c r="F40" s="45"/>
      <c r="G40" s="42"/>
      <c r="H40" s="42"/>
      <c r="I40" s="42"/>
      <c r="J40" s="42"/>
      <c r="K40" s="42"/>
      <c r="L40" s="42"/>
      <c r="M40" s="21">
        <v>1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</row>
    <row r="41" spans="1:22" ht="19.95" customHeight="1" x14ac:dyDescent="0.3">
      <c r="A41" s="58"/>
      <c r="B41" s="63"/>
      <c r="C41" s="41" t="s">
        <v>68</v>
      </c>
      <c r="D41" s="32" t="s">
        <v>50</v>
      </c>
      <c r="E41" s="45">
        <v>2</v>
      </c>
      <c r="F41" s="45">
        <v>2</v>
      </c>
      <c r="G41" s="42">
        <v>2</v>
      </c>
      <c r="H41" s="42">
        <v>2</v>
      </c>
      <c r="I41" s="42">
        <v>2</v>
      </c>
      <c r="J41" s="42">
        <v>2</v>
      </c>
      <c r="K41" s="42">
        <v>2</v>
      </c>
      <c r="L41" s="42">
        <v>2</v>
      </c>
      <c r="M41" s="18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</row>
    <row r="42" spans="1:22" ht="19.95" customHeight="1" x14ac:dyDescent="0.3">
      <c r="A42" s="58"/>
      <c r="B42" s="63"/>
      <c r="C42" s="41" t="s">
        <v>69</v>
      </c>
      <c r="D42" s="32" t="s">
        <v>49</v>
      </c>
      <c r="E42" s="45">
        <v>2</v>
      </c>
      <c r="F42" s="45">
        <v>2</v>
      </c>
      <c r="G42" s="42">
        <v>2</v>
      </c>
      <c r="H42" s="42">
        <v>2</v>
      </c>
      <c r="I42" s="42">
        <v>2</v>
      </c>
      <c r="J42" s="42">
        <v>2</v>
      </c>
      <c r="K42" s="42">
        <v>2</v>
      </c>
      <c r="L42" s="42">
        <v>2</v>
      </c>
      <c r="M42" s="18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</row>
    <row r="43" spans="1:22" ht="19.95" customHeight="1" x14ac:dyDescent="0.3">
      <c r="A43" s="58"/>
      <c r="B43" s="63"/>
      <c r="C43" s="41" t="s">
        <v>70</v>
      </c>
      <c r="D43" s="32" t="s">
        <v>22</v>
      </c>
      <c r="E43" s="45">
        <v>2</v>
      </c>
      <c r="F43" s="45">
        <v>2</v>
      </c>
      <c r="G43" s="42">
        <v>2</v>
      </c>
      <c r="H43" s="42">
        <v>2</v>
      </c>
      <c r="I43" s="42">
        <v>2</v>
      </c>
      <c r="J43" s="42">
        <v>2</v>
      </c>
      <c r="K43" s="42">
        <v>2</v>
      </c>
      <c r="L43" s="42">
        <v>2</v>
      </c>
      <c r="M43" s="18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</row>
    <row r="44" spans="1:22" ht="19.95" customHeight="1" x14ac:dyDescent="0.3">
      <c r="A44" s="58"/>
      <c r="B44" s="63"/>
      <c r="C44" s="33" t="s">
        <v>44</v>
      </c>
      <c r="D44" s="32" t="s">
        <v>17</v>
      </c>
      <c r="E44" s="45">
        <v>6</v>
      </c>
      <c r="F44" s="45">
        <v>10</v>
      </c>
      <c r="G44" s="42">
        <v>10</v>
      </c>
      <c r="H44" s="42">
        <v>10</v>
      </c>
      <c r="I44" s="42">
        <v>10</v>
      </c>
      <c r="J44" s="42">
        <v>10</v>
      </c>
      <c r="K44" s="42">
        <v>10</v>
      </c>
      <c r="L44" s="42">
        <v>10</v>
      </c>
      <c r="M44" s="24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</row>
    <row r="45" spans="1:22" ht="19.95" customHeight="1" x14ac:dyDescent="0.3">
      <c r="A45" s="58"/>
      <c r="B45" s="48"/>
      <c r="C45" s="33"/>
      <c r="D45" s="32"/>
      <c r="E45" s="45"/>
      <c r="F45" s="45"/>
      <c r="G45" s="42"/>
      <c r="H45" s="42"/>
      <c r="I45" s="42"/>
      <c r="J45" s="42"/>
      <c r="K45" s="42"/>
      <c r="L45" s="42"/>
      <c r="M45" s="24">
        <v>4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</row>
    <row r="46" spans="1:22" ht="19.95" customHeight="1" x14ac:dyDescent="0.3">
      <c r="A46" s="58"/>
      <c r="B46" s="64" t="s">
        <v>11</v>
      </c>
      <c r="C46" s="41" t="s">
        <v>71</v>
      </c>
      <c r="D46" s="44" t="s">
        <v>43</v>
      </c>
      <c r="E46" s="12">
        <v>3</v>
      </c>
      <c r="F46" s="12">
        <v>3</v>
      </c>
      <c r="G46" s="12">
        <v>3</v>
      </c>
      <c r="H46" s="12">
        <v>3</v>
      </c>
      <c r="I46" s="12">
        <v>3</v>
      </c>
      <c r="J46" s="12">
        <v>3</v>
      </c>
      <c r="K46" s="12">
        <v>3</v>
      </c>
      <c r="L46" s="12">
        <v>3</v>
      </c>
      <c r="M46" s="12">
        <v>3</v>
      </c>
      <c r="N46" s="18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</row>
    <row r="47" spans="1:22" ht="19.95" customHeight="1" x14ac:dyDescent="0.3">
      <c r="A47" s="58"/>
      <c r="B47" s="64"/>
      <c r="C47" s="41" t="s">
        <v>72</v>
      </c>
      <c r="D47" s="44" t="s">
        <v>40</v>
      </c>
      <c r="E47" s="12">
        <v>2</v>
      </c>
      <c r="F47" s="12">
        <v>2</v>
      </c>
      <c r="G47" s="12">
        <v>2</v>
      </c>
      <c r="H47" s="12">
        <v>2</v>
      </c>
      <c r="I47" s="12">
        <v>2</v>
      </c>
      <c r="J47" s="12">
        <v>2</v>
      </c>
      <c r="K47" s="12">
        <v>2</v>
      </c>
      <c r="L47" s="12">
        <v>2</v>
      </c>
      <c r="M47" s="12">
        <v>2</v>
      </c>
      <c r="N47" s="18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</row>
    <row r="48" spans="1:22" ht="19.95" customHeight="1" x14ac:dyDescent="0.3">
      <c r="A48" s="58"/>
      <c r="B48" s="64"/>
      <c r="C48" s="41" t="s">
        <v>73</v>
      </c>
      <c r="D48" s="44" t="s">
        <v>43</v>
      </c>
      <c r="E48" s="12">
        <v>1</v>
      </c>
      <c r="F48" s="12">
        <v>1</v>
      </c>
      <c r="G48" s="12">
        <v>1</v>
      </c>
      <c r="H48" s="12">
        <v>1</v>
      </c>
      <c r="I48" s="12">
        <v>1</v>
      </c>
      <c r="J48" s="12">
        <v>1</v>
      </c>
      <c r="K48" s="12">
        <v>1</v>
      </c>
      <c r="L48" s="12">
        <v>1</v>
      </c>
      <c r="M48" s="12">
        <v>1</v>
      </c>
      <c r="N48" s="18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</row>
    <row r="49" spans="1:22" ht="19.95" customHeight="1" x14ac:dyDescent="0.3">
      <c r="A49" s="58"/>
      <c r="B49" s="64"/>
      <c r="C49" s="41" t="s">
        <v>74</v>
      </c>
      <c r="D49" s="44" t="s">
        <v>40</v>
      </c>
      <c r="E49" s="12">
        <v>2</v>
      </c>
      <c r="F49" s="12">
        <v>2</v>
      </c>
      <c r="G49" s="12">
        <v>2</v>
      </c>
      <c r="H49" s="12">
        <v>2</v>
      </c>
      <c r="I49" s="12">
        <v>2</v>
      </c>
      <c r="J49" s="12">
        <v>2</v>
      </c>
      <c r="K49" s="12">
        <v>2</v>
      </c>
      <c r="L49" s="12">
        <v>2</v>
      </c>
      <c r="M49" s="12">
        <v>2</v>
      </c>
      <c r="N49" s="18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</row>
    <row r="50" spans="1:22" ht="19.95" customHeight="1" x14ac:dyDescent="0.3">
      <c r="A50" s="58"/>
      <c r="B50" s="64"/>
      <c r="C50" s="41" t="s">
        <v>113</v>
      </c>
      <c r="D50" s="44" t="s">
        <v>43</v>
      </c>
      <c r="E50" s="12">
        <v>2</v>
      </c>
      <c r="F50" s="12">
        <v>3</v>
      </c>
      <c r="G50" s="12">
        <v>3</v>
      </c>
      <c r="H50" s="12">
        <v>3</v>
      </c>
      <c r="I50" s="12">
        <v>3</v>
      </c>
      <c r="J50" s="12">
        <v>3</v>
      </c>
      <c r="K50" s="12">
        <v>3</v>
      </c>
      <c r="L50" s="12">
        <v>3</v>
      </c>
      <c r="M50" s="12">
        <v>3</v>
      </c>
      <c r="N50" s="12">
        <v>3</v>
      </c>
      <c r="O50" s="24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</row>
    <row r="51" spans="1:22" ht="19.95" customHeight="1" x14ac:dyDescent="0.3">
      <c r="A51" s="58"/>
      <c r="B51" s="64"/>
      <c r="C51" s="41"/>
      <c r="D51" s="44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24">
        <v>1</v>
      </c>
      <c r="P51" s="39"/>
      <c r="Q51" s="39"/>
      <c r="R51" s="39"/>
      <c r="S51" s="39"/>
      <c r="T51" s="39"/>
      <c r="U51" s="39"/>
      <c r="V51" s="39"/>
    </row>
    <row r="52" spans="1:22" ht="19.95" customHeight="1" x14ac:dyDescent="0.3">
      <c r="A52" s="58"/>
      <c r="B52" s="64"/>
      <c r="C52" s="41" t="s">
        <v>120</v>
      </c>
      <c r="D52" s="44" t="s">
        <v>40</v>
      </c>
      <c r="E52" s="12">
        <v>2</v>
      </c>
      <c r="F52" s="12">
        <v>2</v>
      </c>
      <c r="G52" s="12">
        <v>2</v>
      </c>
      <c r="H52" s="12">
        <v>2</v>
      </c>
      <c r="I52" s="12">
        <v>2</v>
      </c>
      <c r="J52" s="12">
        <v>2</v>
      </c>
      <c r="K52" s="12">
        <v>2</v>
      </c>
      <c r="L52" s="12">
        <v>2</v>
      </c>
      <c r="M52" s="12">
        <v>2</v>
      </c>
      <c r="N52" s="12">
        <v>2</v>
      </c>
      <c r="O52" s="18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</row>
    <row r="53" spans="1:22" ht="19.95" customHeight="1" x14ac:dyDescent="0.3">
      <c r="A53" s="58"/>
      <c r="B53" s="64"/>
      <c r="C53" s="41" t="s">
        <v>75</v>
      </c>
      <c r="D53" s="44" t="s">
        <v>43</v>
      </c>
      <c r="E53" s="12">
        <v>2</v>
      </c>
      <c r="F53" s="12">
        <v>3</v>
      </c>
      <c r="G53" s="12">
        <v>3</v>
      </c>
      <c r="H53" s="12">
        <v>3</v>
      </c>
      <c r="I53" s="12">
        <v>3</v>
      </c>
      <c r="J53" s="12">
        <v>3</v>
      </c>
      <c r="K53" s="12">
        <v>3</v>
      </c>
      <c r="L53" s="12">
        <v>3</v>
      </c>
      <c r="M53" s="12">
        <v>3</v>
      </c>
      <c r="N53" s="12">
        <v>3</v>
      </c>
      <c r="O53" s="24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</row>
    <row r="54" spans="1:22" ht="19.95" customHeight="1" x14ac:dyDescent="0.3">
      <c r="A54" s="58"/>
      <c r="B54" s="64"/>
      <c r="C54" s="41"/>
      <c r="D54" s="44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24">
        <v>1</v>
      </c>
      <c r="P54" s="39"/>
      <c r="Q54" s="39"/>
      <c r="R54" s="39"/>
      <c r="S54" s="39"/>
      <c r="T54" s="39"/>
      <c r="U54" s="39"/>
      <c r="V54" s="39"/>
    </row>
    <row r="55" spans="1:22" ht="19.95" customHeight="1" x14ac:dyDescent="0.3">
      <c r="A55" s="58"/>
      <c r="B55" s="64"/>
      <c r="C55" s="41" t="s">
        <v>76</v>
      </c>
      <c r="D55" s="44" t="s">
        <v>40</v>
      </c>
      <c r="E55" s="12">
        <v>2</v>
      </c>
      <c r="F55" s="12">
        <v>3</v>
      </c>
      <c r="G55" s="12">
        <v>3</v>
      </c>
      <c r="H55" s="12">
        <v>3</v>
      </c>
      <c r="I55" s="12">
        <v>3</v>
      </c>
      <c r="J55" s="12">
        <v>3</v>
      </c>
      <c r="K55" s="12">
        <v>3</v>
      </c>
      <c r="L55" s="12">
        <v>3</v>
      </c>
      <c r="M55" s="12">
        <v>3</v>
      </c>
      <c r="N55" s="12">
        <v>3</v>
      </c>
      <c r="O55" s="12">
        <v>3</v>
      </c>
      <c r="P55" s="24">
        <v>0</v>
      </c>
      <c r="Q55" s="39">
        <v>0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</row>
    <row r="56" spans="1:22" ht="19.95" customHeight="1" x14ac:dyDescent="0.3">
      <c r="A56" s="58"/>
      <c r="B56" s="64"/>
      <c r="C56" s="41"/>
      <c r="D56" s="44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24">
        <v>1</v>
      </c>
      <c r="Q56" s="39"/>
      <c r="R56" s="39"/>
      <c r="S56" s="39"/>
      <c r="T56" s="39"/>
      <c r="U56" s="39"/>
      <c r="V56" s="39"/>
    </row>
    <row r="57" spans="1:22" ht="19.95" customHeight="1" x14ac:dyDescent="0.3">
      <c r="A57" s="58"/>
      <c r="B57" s="64"/>
      <c r="C57" s="41" t="s">
        <v>77</v>
      </c>
      <c r="D57" s="44" t="s">
        <v>43</v>
      </c>
      <c r="E57" s="12">
        <v>2</v>
      </c>
      <c r="F57" s="12">
        <v>3</v>
      </c>
      <c r="G57" s="12">
        <v>3</v>
      </c>
      <c r="H57" s="12">
        <v>3</v>
      </c>
      <c r="I57" s="12">
        <v>3</v>
      </c>
      <c r="J57" s="12">
        <v>3</v>
      </c>
      <c r="K57" s="12">
        <v>3</v>
      </c>
      <c r="L57" s="12">
        <v>3</v>
      </c>
      <c r="M57" s="12">
        <v>3</v>
      </c>
      <c r="N57" s="12">
        <v>3</v>
      </c>
      <c r="O57" s="12">
        <v>3</v>
      </c>
      <c r="P57" s="24">
        <v>0</v>
      </c>
      <c r="Q57" s="39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</row>
    <row r="58" spans="1:22" ht="19.95" customHeight="1" x14ac:dyDescent="0.3">
      <c r="A58" s="58"/>
      <c r="B58" s="64"/>
      <c r="C58" s="41"/>
      <c r="D58" s="44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24">
        <v>1</v>
      </c>
      <c r="Q58" s="39"/>
      <c r="R58" s="39"/>
      <c r="S58" s="39"/>
      <c r="T58" s="39"/>
      <c r="U58" s="39"/>
      <c r="V58" s="39"/>
    </row>
    <row r="59" spans="1:22" ht="19.95" customHeight="1" x14ac:dyDescent="0.3">
      <c r="A59" s="58"/>
      <c r="B59" s="64"/>
      <c r="C59" s="41" t="s">
        <v>78</v>
      </c>
      <c r="D59" s="44" t="s">
        <v>40</v>
      </c>
      <c r="E59" s="12">
        <v>2</v>
      </c>
      <c r="F59" s="12">
        <v>2</v>
      </c>
      <c r="G59" s="12">
        <v>2</v>
      </c>
      <c r="H59" s="12">
        <v>2</v>
      </c>
      <c r="I59" s="12">
        <v>2</v>
      </c>
      <c r="J59" s="12">
        <v>2</v>
      </c>
      <c r="K59" s="12">
        <v>2</v>
      </c>
      <c r="L59" s="12">
        <v>2</v>
      </c>
      <c r="M59" s="12">
        <v>2</v>
      </c>
      <c r="N59" s="12">
        <v>2</v>
      </c>
      <c r="O59" s="12">
        <v>2</v>
      </c>
      <c r="P59" s="18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</row>
    <row r="60" spans="1:22" ht="19.95" customHeight="1" x14ac:dyDescent="0.3">
      <c r="A60" s="58"/>
      <c r="B60" s="64"/>
      <c r="C60" s="41" t="s">
        <v>79</v>
      </c>
      <c r="D60" s="44" t="s">
        <v>43</v>
      </c>
      <c r="E60" s="12">
        <v>2</v>
      </c>
      <c r="F60" s="12">
        <v>2</v>
      </c>
      <c r="G60" s="12">
        <v>2</v>
      </c>
      <c r="H60" s="12">
        <v>2</v>
      </c>
      <c r="I60" s="12">
        <v>2</v>
      </c>
      <c r="J60" s="12">
        <v>2</v>
      </c>
      <c r="K60" s="12">
        <v>2</v>
      </c>
      <c r="L60" s="12">
        <v>2</v>
      </c>
      <c r="M60" s="12">
        <v>2</v>
      </c>
      <c r="N60" s="18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</row>
    <row r="61" spans="1:22" ht="19.95" customHeight="1" x14ac:dyDescent="0.3">
      <c r="A61" s="58"/>
      <c r="B61" s="64"/>
      <c r="C61" s="41" t="s">
        <v>80</v>
      </c>
      <c r="D61" s="44" t="s">
        <v>40</v>
      </c>
      <c r="E61" s="12">
        <v>3</v>
      </c>
      <c r="F61" s="12">
        <v>3</v>
      </c>
      <c r="G61" s="12">
        <v>3</v>
      </c>
      <c r="H61" s="12">
        <v>3</v>
      </c>
      <c r="I61" s="12">
        <v>3</v>
      </c>
      <c r="J61" s="12">
        <v>3</v>
      </c>
      <c r="K61" s="12">
        <v>3</v>
      </c>
      <c r="L61" s="12">
        <v>3</v>
      </c>
      <c r="M61" s="12">
        <v>3</v>
      </c>
      <c r="N61" s="18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</row>
    <row r="62" spans="1:22" ht="19.95" customHeight="1" x14ac:dyDescent="0.3">
      <c r="A62" s="58"/>
      <c r="B62" s="64"/>
      <c r="C62" s="41" t="s">
        <v>81</v>
      </c>
      <c r="D62" s="44" t="s">
        <v>43</v>
      </c>
      <c r="E62" s="12">
        <v>1</v>
      </c>
      <c r="F62" s="12">
        <v>1</v>
      </c>
      <c r="G62" s="12">
        <v>1</v>
      </c>
      <c r="H62" s="12">
        <v>1</v>
      </c>
      <c r="I62" s="12">
        <v>1</v>
      </c>
      <c r="J62" s="12">
        <v>1</v>
      </c>
      <c r="K62" s="12">
        <v>1</v>
      </c>
      <c r="L62" s="12">
        <v>1</v>
      </c>
      <c r="M62" s="12">
        <v>1</v>
      </c>
      <c r="N62" s="12">
        <v>1</v>
      </c>
      <c r="O62" s="18">
        <v>0</v>
      </c>
      <c r="P62" s="39">
        <v>0</v>
      </c>
      <c r="Q62" s="39">
        <v>0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</row>
    <row r="63" spans="1:22" ht="19.95" customHeight="1" x14ac:dyDescent="0.3">
      <c r="A63" s="58"/>
      <c r="B63" s="64"/>
      <c r="C63" s="41" t="s">
        <v>82</v>
      </c>
      <c r="D63" s="44" t="s">
        <v>40</v>
      </c>
      <c r="E63" s="12">
        <v>2</v>
      </c>
      <c r="F63" s="12">
        <v>2</v>
      </c>
      <c r="G63" s="12">
        <v>2</v>
      </c>
      <c r="H63" s="12">
        <v>2</v>
      </c>
      <c r="I63" s="12">
        <v>2</v>
      </c>
      <c r="J63" s="12">
        <v>2</v>
      </c>
      <c r="K63" s="12">
        <v>2</v>
      </c>
      <c r="L63" s="12">
        <v>2</v>
      </c>
      <c r="M63" s="12">
        <v>2</v>
      </c>
      <c r="N63" s="12">
        <v>2</v>
      </c>
      <c r="O63" s="18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</row>
    <row r="64" spans="1:22" ht="19.95" customHeight="1" x14ac:dyDescent="0.3">
      <c r="A64" s="58"/>
      <c r="B64" s="64"/>
      <c r="C64" s="41" t="s">
        <v>114</v>
      </c>
      <c r="D64" s="44" t="s">
        <v>43</v>
      </c>
      <c r="E64" s="12">
        <v>3</v>
      </c>
      <c r="F64" s="12">
        <v>3</v>
      </c>
      <c r="G64" s="12">
        <v>3</v>
      </c>
      <c r="H64" s="12">
        <v>3</v>
      </c>
      <c r="I64" s="12">
        <v>3</v>
      </c>
      <c r="J64" s="12">
        <v>3</v>
      </c>
      <c r="K64" s="12">
        <v>3</v>
      </c>
      <c r="L64" s="12">
        <v>3</v>
      </c>
      <c r="M64" s="12">
        <v>3</v>
      </c>
      <c r="N64" s="12">
        <v>3</v>
      </c>
      <c r="O64" s="18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</v>
      </c>
    </row>
    <row r="65" spans="1:22" ht="19.95" customHeight="1" x14ac:dyDescent="0.3">
      <c r="A65" s="58"/>
      <c r="B65" s="64"/>
      <c r="C65" s="41" t="s">
        <v>121</v>
      </c>
      <c r="D65" s="44" t="s">
        <v>40</v>
      </c>
      <c r="E65" s="12">
        <v>3</v>
      </c>
      <c r="F65" s="12">
        <v>2</v>
      </c>
      <c r="G65" s="12">
        <v>2</v>
      </c>
      <c r="H65" s="12">
        <v>2</v>
      </c>
      <c r="I65" s="12">
        <v>2</v>
      </c>
      <c r="J65" s="12">
        <v>2</v>
      </c>
      <c r="K65" s="12">
        <v>2</v>
      </c>
      <c r="L65" s="12">
        <v>2</v>
      </c>
      <c r="M65" s="12">
        <v>2</v>
      </c>
      <c r="N65" s="12">
        <v>2</v>
      </c>
      <c r="O65" s="12">
        <v>2</v>
      </c>
      <c r="P65" s="21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</row>
    <row r="66" spans="1:22" ht="19.95" customHeight="1" x14ac:dyDescent="0.3">
      <c r="A66" s="58"/>
      <c r="B66" s="64"/>
      <c r="C66" s="41"/>
      <c r="D66" s="44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1">
        <v>1</v>
      </c>
      <c r="Q66" s="39"/>
      <c r="R66" s="39"/>
      <c r="S66" s="39"/>
      <c r="T66" s="39"/>
      <c r="U66" s="39"/>
      <c r="V66" s="39"/>
    </row>
    <row r="67" spans="1:22" ht="19.95" customHeight="1" x14ac:dyDescent="0.3">
      <c r="A67" s="58"/>
      <c r="B67" s="64"/>
      <c r="C67" s="41" t="s">
        <v>83</v>
      </c>
      <c r="D67" s="44" t="s">
        <v>43</v>
      </c>
      <c r="E67" s="12">
        <v>4</v>
      </c>
      <c r="F67" s="12">
        <v>3</v>
      </c>
      <c r="G67" s="12">
        <v>3</v>
      </c>
      <c r="H67" s="12">
        <v>3</v>
      </c>
      <c r="I67" s="12">
        <v>3</v>
      </c>
      <c r="J67" s="12">
        <v>3</v>
      </c>
      <c r="K67" s="12">
        <v>3</v>
      </c>
      <c r="L67" s="12">
        <v>3</v>
      </c>
      <c r="M67" s="12">
        <v>3</v>
      </c>
      <c r="N67" s="12">
        <v>3</v>
      </c>
      <c r="O67" s="12">
        <v>3</v>
      </c>
      <c r="P67" s="21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</row>
    <row r="68" spans="1:22" ht="19.95" customHeight="1" x14ac:dyDescent="0.3">
      <c r="A68" s="58"/>
      <c r="B68" s="64"/>
      <c r="C68" s="41"/>
      <c r="D68" s="44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1">
        <v>1</v>
      </c>
      <c r="Q68" s="39"/>
      <c r="R68" s="39"/>
      <c r="S68" s="39"/>
      <c r="T68" s="39"/>
      <c r="U68" s="39"/>
      <c r="V68" s="39"/>
    </row>
    <row r="69" spans="1:22" ht="19.95" customHeight="1" x14ac:dyDescent="0.3">
      <c r="A69" s="58"/>
      <c r="B69" s="64"/>
      <c r="C69" s="41" t="s">
        <v>84</v>
      </c>
      <c r="D69" s="44" t="s">
        <v>40</v>
      </c>
      <c r="E69" s="12">
        <v>3</v>
      </c>
      <c r="F69" s="12">
        <v>3</v>
      </c>
      <c r="G69" s="12">
        <v>3</v>
      </c>
      <c r="H69" s="12">
        <v>3</v>
      </c>
      <c r="I69" s="12">
        <v>3</v>
      </c>
      <c r="J69" s="12">
        <v>3</v>
      </c>
      <c r="K69" s="12">
        <v>3</v>
      </c>
      <c r="L69" s="12">
        <v>3</v>
      </c>
      <c r="M69" s="12">
        <v>3</v>
      </c>
      <c r="N69" s="12">
        <v>3</v>
      </c>
      <c r="O69" s="12">
        <v>3</v>
      </c>
      <c r="P69" s="18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</row>
    <row r="70" spans="1:22" ht="19.95" customHeight="1" x14ac:dyDescent="0.3">
      <c r="A70" s="58"/>
      <c r="B70" s="64"/>
      <c r="C70" s="41" t="s">
        <v>85</v>
      </c>
      <c r="D70" s="44" t="s">
        <v>43</v>
      </c>
      <c r="E70" s="12">
        <v>3</v>
      </c>
      <c r="F70" s="12">
        <v>3</v>
      </c>
      <c r="G70" s="12">
        <v>3</v>
      </c>
      <c r="H70" s="12">
        <v>3</v>
      </c>
      <c r="I70" s="12">
        <v>3</v>
      </c>
      <c r="J70" s="12">
        <v>3</v>
      </c>
      <c r="K70" s="12">
        <v>3</v>
      </c>
      <c r="L70" s="12">
        <v>3</v>
      </c>
      <c r="M70" s="12">
        <v>3</v>
      </c>
      <c r="N70" s="12">
        <v>3</v>
      </c>
      <c r="O70" s="12">
        <v>3</v>
      </c>
      <c r="P70" s="12">
        <v>3</v>
      </c>
      <c r="Q70" s="18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</row>
    <row r="71" spans="1:22" ht="19.95" customHeight="1" x14ac:dyDescent="0.3">
      <c r="A71" s="58"/>
      <c r="B71" s="64"/>
      <c r="C71" s="41" t="s">
        <v>86</v>
      </c>
      <c r="D71" s="44" t="s">
        <v>40</v>
      </c>
      <c r="E71" s="12">
        <v>2</v>
      </c>
      <c r="F71" s="12">
        <v>2</v>
      </c>
      <c r="G71" s="12">
        <v>2</v>
      </c>
      <c r="H71" s="12">
        <v>2</v>
      </c>
      <c r="I71" s="12">
        <v>2</v>
      </c>
      <c r="J71" s="12">
        <v>2</v>
      </c>
      <c r="K71" s="12">
        <v>2</v>
      </c>
      <c r="L71" s="12">
        <v>2</v>
      </c>
      <c r="M71" s="12">
        <v>2</v>
      </c>
      <c r="N71" s="12">
        <v>2</v>
      </c>
      <c r="O71" s="12">
        <v>2</v>
      </c>
      <c r="P71" s="12">
        <v>2</v>
      </c>
      <c r="Q71" s="18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</row>
    <row r="72" spans="1:22" ht="19.95" customHeight="1" x14ac:dyDescent="0.3">
      <c r="A72" s="58"/>
      <c r="B72" s="64"/>
      <c r="C72" s="33" t="s">
        <v>45</v>
      </c>
      <c r="D72" s="44" t="s">
        <v>17</v>
      </c>
      <c r="E72" s="44">
        <v>4</v>
      </c>
      <c r="F72" s="44">
        <v>4</v>
      </c>
      <c r="G72" s="44">
        <v>4</v>
      </c>
      <c r="H72" s="44">
        <v>4</v>
      </c>
      <c r="I72" s="44">
        <v>4</v>
      </c>
      <c r="J72" s="44">
        <v>4</v>
      </c>
      <c r="K72" s="44">
        <v>4</v>
      </c>
      <c r="L72" s="44">
        <v>4</v>
      </c>
      <c r="M72" s="44">
        <v>4</v>
      </c>
      <c r="N72" s="44">
        <v>4</v>
      </c>
      <c r="O72" s="44">
        <v>4</v>
      </c>
      <c r="P72" s="44">
        <v>4</v>
      </c>
      <c r="Q72" s="44">
        <v>4</v>
      </c>
      <c r="R72" s="18">
        <v>0</v>
      </c>
      <c r="S72" s="39">
        <v>0</v>
      </c>
      <c r="T72" s="39">
        <v>0</v>
      </c>
      <c r="U72" s="39">
        <v>0</v>
      </c>
      <c r="V72" s="39">
        <v>0</v>
      </c>
    </row>
    <row r="73" spans="1:22" ht="19.95" customHeight="1" x14ac:dyDescent="0.3">
      <c r="A73" s="58"/>
      <c r="B73" s="64" t="s">
        <v>12</v>
      </c>
      <c r="C73" s="41" t="s">
        <v>87</v>
      </c>
      <c r="D73" s="44" t="s">
        <v>49</v>
      </c>
      <c r="E73" s="12">
        <v>1</v>
      </c>
      <c r="F73" s="12">
        <v>1</v>
      </c>
      <c r="G73" s="12">
        <v>1</v>
      </c>
      <c r="H73" s="12">
        <v>1</v>
      </c>
      <c r="I73" s="12">
        <v>1</v>
      </c>
      <c r="J73" s="12">
        <v>1</v>
      </c>
      <c r="K73" s="12">
        <v>1</v>
      </c>
      <c r="L73" s="12">
        <v>1</v>
      </c>
      <c r="M73" s="12">
        <v>1</v>
      </c>
      <c r="N73" s="12">
        <v>1</v>
      </c>
      <c r="O73" s="12">
        <v>1</v>
      </c>
      <c r="P73" s="12">
        <v>1</v>
      </c>
      <c r="Q73" s="12">
        <v>1</v>
      </c>
      <c r="R73" s="12">
        <v>1</v>
      </c>
      <c r="S73" s="18">
        <v>0</v>
      </c>
      <c r="T73" s="39">
        <v>0</v>
      </c>
      <c r="U73" s="39">
        <v>0</v>
      </c>
      <c r="V73" s="39">
        <v>0</v>
      </c>
    </row>
    <row r="74" spans="1:22" ht="19.95" customHeight="1" x14ac:dyDescent="0.3">
      <c r="A74" s="58"/>
      <c r="B74" s="64"/>
      <c r="C74" s="41" t="s">
        <v>88</v>
      </c>
      <c r="D74" s="44" t="s">
        <v>50</v>
      </c>
      <c r="E74" s="12">
        <v>1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  <c r="M74" s="12">
        <v>1</v>
      </c>
      <c r="N74" s="12">
        <v>1</v>
      </c>
      <c r="O74" s="12">
        <v>1</v>
      </c>
      <c r="P74" s="12">
        <v>1</v>
      </c>
      <c r="Q74" s="12">
        <v>1</v>
      </c>
      <c r="R74" s="12">
        <v>1</v>
      </c>
      <c r="S74" s="18">
        <v>0</v>
      </c>
      <c r="T74" s="39">
        <v>0</v>
      </c>
      <c r="U74" s="39">
        <v>0</v>
      </c>
      <c r="V74" s="39">
        <v>0</v>
      </c>
    </row>
    <row r="75" spans="1:22" ht="19.95" customHeight="1" x14ac:dyDescent="0.3">
      <c r="A75" s="58"/>
      <c r="B75" s="64"/>
      <c r="C75" s="41" t="s">
        <v>89</v>
      </c>
      <c r="D75" s="44" t="s">
        <v>49</v>
      </c>
      <c r="E75" s="12">
        <v>0.5</v>
      </c>
      <c r="F75" s="12">
        <v>0.5</v>
      </c>
      <c r="G75" s="12">
        <v>0.5</v>
      </c>
      <c r="H75" s="12">
        <v>0.5</v>
      </c>
      <c r="I75" s="12">
        <v>0.5</v>
      </c>
      <c r="J75" s="12">
        <v>0.5</v>
      </c>
      <c r="K75" s="12">
        <v>0.5</v>
      </c>
      <c r="L75" s="12">
        <v>0.5</v>
      </c>
      <c r="M75" s="12">
        <v>0.5</v>
      </c>
      <c r="N75" s="12">
        <v>0.5</v>
      </c>
      <c r="O75" s="12">
        <v>0.5</v>
      </c>
      <c r="P75" s="12">
        <v>0.5</v>
      </c>
      <c r="Q75" s="12">
        <v>0.5</v>
      </c>
      <c r="R75" s="12">
        <v>0.5</v>
      </c>
      <c r="S75" s="18">
        <v>0</v>
      </c>
      <c r="T75" s="39">
        <v>0</v>
      </c>
      <c r="U75" s="39">
        <v>0</v>
      </c>
      <c r="V75" s="39">
        <v>0</v>
      </c>
    </row>
    <row r="76" spans="1:22" ht="19.95" customHeight="1" x14ac:dyDescent="0.3">
      <c r="A76" s="58"/>
      <c r="B76" s="64"/>
      <c r="C76" s="41" t="s">
        <v>90</v>
      </c>
      <c r="D76" s="44" t="s">
        <v>49</v>
      </c>
      <c r="E76" s="12">
        <v>0.5</v>
      </c>
      <c r="F76" s="12">
        <v>0.5</v>
      </c>
      <c r="G76" s="12">
        <v>0.5</v>
      </c>
      <c r="H76" s="12">
        <v>0.5</v>
      </c>
      <c r="I76" s="12">
        <v>0.5</v>
      </c>
      <c r="J76" s="12">
        <v>0.5</v>
      </c>
      <c r="K76" s="12">
        <v>0.5</v>
      </c>
      <c r="L76" s="12">
        <v>0.5</v>
      </c>
      <c r="M76" s="12">
        <v>0.5</v>
      </c>
      <c r="N76" s="12">
        <v>0.5</v>
      </c>
      <c r="O76" s="12">
        <v>0.5</v>
      </c>
      <c r="P76" s="12">
        <v>0.5</v>
      </c>
      <c r="Q76" s="12">
        <v>0.5</v>
      </c>
      <c r="R76" s="12">
        <v>0.5</v>
      </c>
      <c r="S76" s="18">
        <v>0</v>
      </c>
      <c r="T76" s="39">
        <v>0</v>
      </c>
      <c r="U76" s="39">
        <v>0</v>
      </c>
      <c r="V76" s="39">
        <v>0</v>
      </c>
    </row>
    <row r="77" spans="1:22" ht="19.95" customHeight="1" x14ac:dyDescent="0.3">
      <c r="A77" s="58"/>
      <c r="B77" s="64"/>
      <c r="C77" s="41" t="s">
        <v>115</v>
      </c>
      <c r="D77" s="44" t="s">
        <v>50</v>
      </c>
      <c r="E77" s="12">
        <v>1</v>
      </c>
      <c r="F77" s="12">
        <v>1</v>
      </c>
      <c r="G77" s="12">
        <v>1</v>
      </c>
      <c r="H77" s="12">
        <v>1</v>
      </c>
      <c r="I77" s="12">
        <v>1</v>
      </c>
      <c r="J77" s="12">
        <v>1</v>
      </c>
      <c r="K77" s="12">
        <v>1</v>
      </c>
      <c r="L77" s="12">
        <v>1</v>
      </c>
      <c r="M77" s="12">
        <v>1</v>
      </c>
      <c r="N77" s="12">
        <v>1</v>
      </c>
      <c r="O77" s="12">
        <v>1</v>
      </c>
      <c r="P77" s="12">
        <v>1</v>
      </c>
      <c r="Q77" s="12">
        <v>1</v>
      </c>
      <c r="R77" s="12">
        <v>1</v>
      </c>
      <c r="S77" s="18">
        <v>0</v>
      </c>
      <c r="T77" s="39">
        <v>0</v>
      </c>
      <c r="U77" s="39">
        <v>0</v>
      </c>
      <c r="V77" s="39">
        <v>0</v>
      </c>
    </row>
    <row r="78" spans="1:22" ht="19.95" customHeight="1" x14ac:dyDescent="0.3">
      <c r="A78" s="58"/>
      <c r="B78" s="64"/>
      <c r="C78" s="41" t="s">
        <v>122</v>
      </c>
      <c r="D78" s="44" t="s">
        <v>50</v>
      </c>
      <c r="E78" s="12">
        <v>1</v>
      </c>
      <c r="F78" s="12">
        <v>1</v>
      </c>
      <c r="G78" s="12">
        <v>1</v>
      </c>
      <c r="H78" s="12">
        <v>1</v>
      </c>
      <c r="I78" s="12">
        <v>1</v>
      </c>
      <c r="J78" s="12">
        <v>1</v>
      </c>
      <c r="K78" s="12">
        <v>1</v>
      </c>
      <c r="L78" s="12">
        <v>1</v>
      </c>
      <c r="M78" s="12">
        <v>1</v>
      </c>
      <c r="N78" s="12">
        <v>1</v>
      </c>
      <c r="O78" s="12">
        <v>1</v>
      </c>
      <c r="P78" s="12">
        <v>1</v>
      </c>
      <c r="Q78" s="12">
        <v>1</v>
      </c>
      <c r="R78" s="12">
        <v>1</v>
      </c>
      <c r="S78" s="18">
        <v>0</v>
      </c>
      <c r="T78" s="39">
        <v>0</v>
      </c>
      <c r="U78" s="39">
        <v>0</v>
      </c>
      <c r="V78" s="39">
        <v>0</v>
      </c>
    </row>
    <row r="79" spans="1:22" ht="19.95" customHeight="1" x14ac:dyDescent="0.3">
      <c r="A79" s="58"/>
      <c r="B79" s="64"/>
      <c r="C79" s="41" t="s">
        <v>91</v>
      </c>
      <c r="D79" s="44" t="s">
        <v>22</v>
      </c>
      <c r="E79" s="12">
        <v>2</v>
      </c>
      <c r="F79" s="12">
        <v>2</v>
      </c>
      <c r="G79" s="12">
        <v>2</v>
      </c>
      <c r="H79" s="12">
        <v>2</v>
      </c>
      <c r="I79" s="12">
        <v>2</v>
      </c>
      <c r="J79" s="12">
        <v>2</v>
      </c>
      <c r="K79" s="12">
        <v>2</v>
      </c>
      <c r="L79" s="12">
        <v>2</v>
      </c>
      <c r="M79" s="12">
        <v>2</v>
      </c>
      <c r="N79" s="12">
        <v>2</v>
      </c>
      <c r="O79" s="12">
        <v>2</v>
      </c>
      <c r="P79" s="12">
        <v>2</v>
      </c>
      <c r="Q79" s="12">
        <v>2</v>
      </c>
      <c r="R79" s="12">
        <v>2</v>
      </c>
      <c r="S79" s="18">
        <v>0</v>
      </c>
      <c r="T79" s="39">
        <v>0</v>
      </c>
      <c r="U79" s="39">
        <v>0</v>
      </c>
      <c r="V79" s="39">
        <v>0</v>
      </c>
    </row>
    <row r="80" spans="1:22" ht="19.95" customHeight="1" x14ac:dyDescent="0.3">
      <c r="A80" s="58"/>
      <c r="B80" s="64"/>
      <c r="C80" s="41" t="s">
        <v>92</v>
      </c>
      <c r="D80" s="44" t="s">
        <v>50</v>
      </c>
      <c r="E80" s="12">
        <v>1</v>
      </c>
      <c r="F80" s="12">
        <v>1</v>
      </c>
      <c r="G80" s="12">
        <v>1</v>
      </c>
      <c r="H80" s="12">
        <v>1</v>
      </c>
      <c r="I80" s="12">
        <v>1</v>
      </c>
      <c r="J80" s="12">
        <v>1</v>
      </c>
      <c r="K80" s="12">
        <v>1</v>
      </c>
      <c r="L80" s="12">
        <v>1</v>
      </c>
      <c r="M80" s="12">
        <v>1</v>
      </c>
      <c r="N80" s="12">
        <v>1</v>
      </c>
      <c r="O80" s="12">
        <v>1</v>
      </c>
      <c r="P80" s="12">
        <v>1</v>
      </c>
      <c r="Q80" s="12">
        <v>1</v>
      </c>
      <c r="R80" s="12">
        <v>1</v>
      </c>
      <c r="S80" s="18">
        <v>0</v>
      </c>
      <c r="T80" s="39">
        <v>0</v>
      </c>
      <c r="U80" s="39">
        <v>0</v>
      </c>
      <c r="V80" s="39">
        <v>0</v>
      </c>
    </row>
    <row r="81" spans="1:22" ht="19.95" customHeight="1" x14ac:dyDescent="0.3">
      <c r="A81" s="58"/>
      <c r="B81" s="64"/>
      <c r="C81" s="41" t="s">
        <v>93</v>
      </c>
      <c r="D81" s="44" t="s">
        <v>49</v>
      </c>
      <c r="E81" s="12">
        <v>1</v>
      </c>
      <c r="F81" s="12">
        <v>1</v>
      </c>
      <c r="G81" s="12">
        <v>1</v>
      </c>
      <c r="H81" s="12">
        <v>1</v>
      </c>
      <c r="I81" s="12">
        <v>1</v>
      </c>
      <c r="J81" s="12">
        <v>1</v>
      </c>
      <c r="K81" s="12">
        <v>1</v>
      </c>
      <c r="L81" s="12">
        <v>1</v>
      </c>
      <c r="M81" s="12">
        <v>1</v>
      </c>
      <c r="N81" s="12">
        <v>1</v>
      </c>
      <c r="O81" s="12">
        <v>1</v>
      </c>
      <c r="P81" s="12">
        <v>1</v>
      </c>
      <c r="Q81" s="12">
        <v>1</v>
      </c>
      <c r="R81" s="12">
        <v>1</v>
      </c>
      <c r="S81" s="18">
        <v>0</v>
      </c>
      <c r="T81" s="39">
        <v>0</v>
      </c>
      <c r="U81" s="39">
        <v>0</v>
      </c>
      <c r="V81" s="39">
        <v>0</v>
      </c>
    </row>
    <row r="82" spans="1:22" ht="19.95" customHeight="1" x14ac:dyDescent="0.3">
      <c r="A82" s="58"/>
      <c r="B82" s="64"/>
      <c r="C82" s="41" t="s">
        <v>94</v>
      </c>
      <c r="D82" s="44" t="s">
        <v>22</v>
      </c>
      <c r="E82" s="12">
        <v>1</v>
      </c>
      <c r="F82" s="12">
        <v>1</v>
      </c>
      <c r="G82" s="12">
        <v>1</v>
      </c>
      <c r="H82" s="12">
        <v>1</v>
      </c>
      <c r="I82" s="12">
        <v>1</v>
      </c>
      <c r="J82" s="12">
        <v>1</v>
      </c>
      <c r="K82" s="12">
        <v>1</v>
      </c>
      <c r="L82" s="12">
        <v>1</v>
      </c>
      <c r="M82" s="12">
        <v>1</v>
      </c>
      <c r="N82" s="12">
        <v>1</v>
      </c>
      <c r="O82" s="12">
        <v>1</v>
      </c>
      <c r="P82" s="12">
        <v>1</v>
      </c>
      <c r="Q82" s="12">
        <v>1</v>
      </c>
      <c r="R82" s="12">
        <v>1</v>
      </c>
      <c r="S82" s="18">
        <v>0</v>
      </c>
      <c r="T82" s="39">
        <v>0</v>
      </c>
      <c r="U82" s="39">
        <v>0</v>
      </c>
      <c r="V82" s="39">
        <v>0</v>
      </c>
    </row>
    <row r="83" spans="1:22" ht="19.95" customHeight="1" x14ac:dyDescent="0.3">
      <c r="A83" s="58"/>
      <c r="B83" s="64" t="s">
        <v>46</v>
      </c>
      <c r="C83" s="41" t="s">
        <v>95</v>
      </c>
      <c r="D83" s="44" t="s">
        <v>51</v>
      </c>
      <c r="E83" s="12">
        <v>1</v>
      </c>
      <c r="F83" s="12">
        <v>1</v>
      </c>
      <c r="G83" s="12">
        <v>1</v>
      </c>
      <c r="H83" s="12">
        <v>1</v>
      </c>
      <c r="I83" s="12">
        <v>1</v>
      </c>
      <c r="J83" s="12">
        <v>1</v>
      </c>
      <c r="K83" s="12">
        <v>1</v>
      </c>
      <c r="L83" s="12">
        <v>1</v>
      </c>
      <c r="M83" s="12">
        <v>1</v>
      </c>
      <c r="N83" s="12">
        <v>1</v>
      </c>
      <c r="O83" s="12">
        <v>1</v>
      </c>
      <c r="P83" s="12">
        <v>1</v>
      </c>
      <c r="Q83" s="12">
        <v>1</v>
      </c>
      <c r="R83" s="12">
        <v>1</v>
      </c>
      <c r="S83" s="12">
        <v>1</v>
      </c>
      <c r="T83" s="18">
        <v>0</v>
      </c>
      <c r="U83" s="39">
        <v>0</v>
      </c>
      <c r="V83" s="39">
        <v>0</v>
      </c>
    </row>
    <row r="84" spans="1:22" ht="19.95" customHeight="1" x14ac:dyDescent="0.3">
      <c r="A84" s="58"/>
      <c r="B84" s="64"/>
      <c r="C84" s="41" t="s">
        <v>96</v>
      </c>
      <c r="D84" s="32" t="s">
        <v>51</v>
      </c>
      <c r="E84" s="12">
        <v>1</v>
      </c>
      <c r="F84" s="12">
        <v>1</v>
      </c>
      <c r="G84" s="12">
        <v>1</v>
      </c>
      <c r="H84" s="12">
        <v>1</v>
      </c>
      <c r="I84" s="12">
        <v>1</v>
      </c>
      <c r="J84" s="12">
        <v>1</v>
      </c>
      <c r="K84" s="12">
        <v>1</v>
      </c>
      <c r="L84" s="12">
        <v>1</v>
      </c>
      <c r="M84" s="12">
        <v>1</v>
      </c>
      <c r="N84" s="12">
        <v>1</v>
      </c>
      <c r="O84" s="12">
        <v>1</v>
      </c>
      <c r="P84" s="12">
        <v>1</v>
      </c>
      <c r="Q84" s="12">
        <v>1</v>
      </c>
      <c r="R84" s="12">
        <v>1</v>
      </c>
      <c r="S84" s="12">
        <v>1</v>
      </c>
      <c r="T84" s="18">
        <v>0</v>
      </c>
      <c r="U84" s="39">
        <v>0</v>
      </c>
      <c r="V84" s="39">
        <v>0</v>
      </c>
    </row>
    <row r="85" spans="1:22" ht="19.95" customHeight="1" x14ac:dyDescent="0.3">
      <c r="A85" s="58"/>
      <c r="B85" s="64"/>
      <c r="C85" s="41" t="s">
        <v>97</v>
      </c>
      <c r="D85" s="32" t="s">
        <v>51</v>
      </c>
      <c r="E85" s="12">
        <v>0.5</v>
      </c>
      <c r="F85" s="12">
        <v>0.5</v>
      </c>
      <c r="G85" s="12">
        <v>0.5</v>
      </c>
      <c r="H85" s="12">
        <v>0.5</v>
      </c>
      <c r="I85" s="12">
        <v>0.5</v>
      </c>
      <c r="J85" s="12">
        <v>0.5</v>
      </c>
      <c r="K85" s="12">
        <v>0.5</v>
      </c>
      <c r="L85" s="12">
        <v>0.5</v>
      </c>
      <c r="M85" s="12">
        <v>0.5</v>
      </c>
      <c r="N85" s="12">
        <v>0.5</v>
      </c>
      <c r="O85" s="12">
        <v>0.5</v>
      </c>
      <c r="P85" s="12">
        <v>0.5</v>
      </c>
      <c r="Q85" s="12">
        <v>0.5</v>
      </c>
      <c r="R85" s="12">
        <v>0.5</v>
      </c>
      <c r="S85" s="12">
        <v>0.5</v>
      </c>
      <c r="T85" s="18">
        <v>0</v>
      </c>
      <c r="U85" s="39">
        <v>0</v>
      </c>
      <c r="V85" s="39">
        <v>0</v>
      </c>
    </row>
    <row r="86" spans="1:22" ht="19.95" customHeight="1" x14ac:dyDescent="0.3">
      <c r="A86" s="58"/>
      <c r="B86" s="64"/>
      <c r="C86" s="41" t="s">
        <v>98</v>
      </c>
      <c r="D86" s="32" t="s">
        <v>51</v>
      </c>
      <c r="E86" s="12">
        <v>0.5</v>
      </c>
      <c r="F86" s="12">
        <v>0.5</v>
      </c>
      <c r="G86" s="12">
        <v>0.5</v>
      </c>
      <c r="H86" s="12">
        <v>0.5</v>
      </c>
      <c r="I86" s="12">
        <v>0.5</v>
      </c>
      <c r="J86" s="12">
        <v>0.5</v>
      </c>
      <c r="K86" s="12">
        <v>0.5</v>
      </c>
      <c r="L86" s="12">
        <v>0.5</v>
      </c>
      <c r="M86" s="12">
        <v>0.5</v>
      </c>
      <c r="N86" s="12">
        <v>0.5</v>
      </c>
      <c r="O86" s="12">
        <v>0.5</v>
      </c>
      <c r="P86" s="12">
        <v>0.5</v>
      </c>
      <c r="Q86" s="12">
        <v>0.5</v>
      </c>
      <c r="R86" s="12">
        <v>0.5</v>
      </c>
      <c r="S86" s="12">
        <v>0.5</v>
      </c>
      <c r="T86" s="18">
        <v>0</v>
      </c>
      <c r="U86" s="39">
        <v>0</v>
      </c>
      <c r="V86" s="39">
        <v>0</v>
      </c>
    </row>
    <row r="87" spans="1:22" ht="19.95" customHeight="1" x14ac:dyDescent="0.3">
      <c r="A87" s="58"/>
      <c r="B87" s="64"/>
      <c r="C87" s="41" t="s">
        <v>116</v>
      </c>
      <c r="D87" s="32" t="s">
        <v>51</v>
      </c>
      <c r="E87" s="12">
        <v>1</v>
      </c>
      <c r="F87" s="12">
        <v>1</v>
      </c>
      <c r="G87" s="12">
        <v>1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  <c r="N87" s="12">
        <v>1</v>
      </c>
      <c r="O87" s="12">
        <v>1</v>
      </c>
      <c r="P87" s="12">
        <v>1</v>
      </c>
      <c r="Q87" s="12">
        <v>1</v>
      </c>
      <c r="R87" s="12">
        <v>1</v>
      </c>
      <c r="S87" s="12">
        <v>1</v>
      </c>
      <c r="T87" s="18">
        <v>0</v>
      </c>
      <c r="U87" s="39">
        <v>0</v>
      </c>
      <c r="V87" s="39">
        <v>0</v>
      </c>
    </row>
    <row r="88" spans="1:22" ht="19.95" customHeight="1" x14ac:dyDescent="0.3">
      <c r="A88" s="58"/>
      <c r="B88" s="64"/>
      <c r="C88" s="41" t="s">
        <v>123</v>
      </c>
      <c r="D88" s="32" t="s">
        <v>51</v>
      </c>
      <c r="E88" s="12">
        <v>1</v>
      </c>
      <c r="F88" s="12">
        <v>1</v>
      </c>
      <c r="G88" s="12">
        <v>1</v>
      </c>
      <c r="H88" s="12">
        <v>1</v>
      </c>
      <c r="I88" s="12">
        <v>1</v>
      </c>
      <c r="J88" s="12">
        <v>1</v>
      </c>
      <c r="K88" s="12">
        <v>1</v>
      </c>
      <c r="L88" s="12">
        <v>1</v>
      </c>
      <c r="M88" s="12">
        <v>1</v>
      </c>
      <c r="N88" s="12">
        <v>1</v>
      </c>
      <c r="O88" s="12">
        <v>1</v>
      </c>
      <c r="P88" s="12">
        <v>1</v>
      </c>
      <c r="Q88" s="12">
        <v>1</v>
      </c>
      <c r="R88" s="12">
        <v>1</v>
      </c>
      <c r="S88" s="12">
        <v>1</v>
      </c>
      <c r="T88" s="18">
        <v>0</v>
      </c>
      <c r="U88" s="39">
        <v>0</v>
      </c>
      <c r="V88" s="39">
        <v>0</v>
      </c>
    </row>
    <row r="89" spans="1:22" ht="19.95" customHeight="1" x14ac:dyDescent="0.3">
      <c r="A89" s="58"/>
      <c r="B89" s="64"/>
      <c r="C89" s="41" t="s">
        <v>99</v>
      </c>
      <c r="D89" s="32" t="s">
        <v>51</v>
      </c>
      <c r="E89" s="12">
        <v>2</v>
      </c>
      <c r="F89" s="12">
        <v>2</v>
      </c>
      <c r="G89" s="12">
        <v>2</v>
      </c>
      <c r="H89" s="12">
        <v>2</v>
      </c>
      <c r="I89" s="12">
        <v>2</v>
      </c>
      <c r="J89" s="12">
        <v>2</v>
      </c>
      <c r="K89" s="12">
        <v>2</v>
      </c>
      <c r="L89" s="12">
        <v>2</v>
      </c>
      <c r="M89" s="12">
        <v>2</v>
      </c>
      <c r="N89" s="12">
        <v>2</v>
      </c>
      <c r="O89" s="12">
        <v>2</v>
      </c>
      <c r="P89" s="12">
        <v>2</v>
      </c>
      <c r="Q89" s="12">
        <v>2</v>
      </c>
      <c r="R89" s="12">
        <v>2</v>
      </c>
      <c r="S89" s="12">
        <v>2</v>
      </c>
      <c r="T89" s="18">
        <v>0</v>
      </c>
      <c r="U89" s="39">
        <v>0</v>
      </c>
      <c r="V89" s="39">
        <v>0</v>
      </c>
    </row>
    <row r="90" spans="1:22" ht="19.95" customHeight="1" x14ac:dyDescent="0.3">
      <c r="A90" s="58"/>
      <c r="B90" s="64"/>
      <c r="C90" s="41" t="s">
        <v>100</v>
      </c>
      <c r="D90" s="32" t="s">
        <v>51</v>
      </c>
      <c r="E90" s="12">
        <v>1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1</v>
      </c>
      <c r="N90" s="12">
        <v>1</v>
      </c>
      <c r="O90" s="12">
        <v>1</v>
      </c>
      <c r="P90" s="12">
        <v>1</v>
      </c>
      <c r="Q90" s="12">
        <v>1</v>
      </c>
      <c r="R90" s="12">
        <v>1</v>
      </c>
      <c r="S90" s="12">
        <v>1</v>
      </c>
      <c r="T90" s="18">
        <v>0</v>
      </c>
      <c r="U90" s="39">
        <v>0</v>
      </c>
      <c r="V90" s="39">
        <v>0</v>
      </c>
    </row>
    <row r="91" spans="1:22" ht="19.95" customHeight="1" x14ac:dyDescent="0.3">
      <c r="A91" s="58"/>
      <c r="B91" s="64"/>
      <c r="C91" s="41" t="s">
        <v>101</v>
      </c>
      <c r="D91" s="32" t="s">
        <v>51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1</v>
      </c>
      <c r="N91" s="12">
        <v>1</v>
      </c>
      <c r="O91" s="12">
        <v>1</v>
      </c>
      <c r="P91" s="12">
        <v>1</v>
      </c>
      <c r="Q91" s="12">
        <v>1</v>
      </c>
      <c r="R91" s="12">
        <v>1</v>
      </c>
      <c r="S91" s="12">
        <v>1</v>
      </c>
      <c r="T91" s="18">
        <v>0</v>
      </c>
      <c r="U91" s="39">
        <v>0</v>
      </c>
      <c r="V91" s="39">
        <v>0</v>
      </c>
    </row>
    <row r="92" spans="1:22" ht="19.95" customHeight="1" x14ac:dyDescent="0.3">
      <c r="A92" s="58"/>
      <c r="B92" s="64"/>
      <c r="C92" s="41" t="s">
        <v>102</v>
      </c>
      <c r="D92" s="32" t="s">
        <v>51</v>
      </c>
      <c r="E92" s="12">
        <v>1</v>
      </c>
      <c r="F92" s="12">
        <v>1</v>
      </c>
      <c r="G92" s="12">
        <v>1</v>
      </c>
      <c r="H92" s="12">
        <v>1</v>
      </c>
      <c r="I92" s="12">
        <v>1</v>
      </c>
      <c r="J92" s="12">
        <v>1</v>
      </c>
      <c r="K92" s="12">
        <v>1</v>
      </c>
      <c r="L92" s="12">
        <v>1</v>
      </c>
      <c r="M92" s="12">
        <v>1</v>
      </c>
      <c r="N92" s="12">
        <v>1</v>
      </c>
      <c r="O92" s="12">
        <v>1</v>
      </c>
      <c r="P92" s="12">
        <v>1</v>
      </c>
      <c r="Q92" s="12">
        <v>1</v>
      </c>
      <c r="R92" s="12">
        <v>1</v>
      </c>
      <c r="S92" s="12">
        <v>1</v>
      </c>
      <c r="T92" s="18">
        <v>0</v>
      </c>
      <c r="U92" s="39">
        <v>0</v>
      </c>
      <c r="V92" s="39">
        <v>0</v>
      </c>
    </row>
    <row r="93" spans="1:22" ht="19.95" customHeight="1" x14ac:dyDescent="0.3">
      <c r="A93" s="58"/>
      <c r="B93" s="64" t="s">
        <v>16</v>
      </c>
      <c r="C93" s="41" t="s">
        <v>103</v>
      </c>
      <c r="D93" s="32" t="s">
        <v>49</v>
      </c>
      <c r="E93" s="44">
        <v>1</v>
      </c>
      <c r="F93" s="44">
        <v>1</v>
      </c>
      <c r="G93" s="44">
        <v>1</v>
      </c>
      <c r="H93" s="44">
        <v>1</v>
      </c>
      <c r="I93" s="44">
        <v>1</v>
      </c>
      <c r="J93" s="44">
        <v>1</v>
      </c>
      <c r="K93" s="44">
        <v>1</v>
      </c>
      <c r="L93" s="44">
        <v>1</v>
      </c>
      <c r="M93" s="44">
        <v>1</v>
      </c>
      <c r="N93" s="44">
        <v>1</v>
      </c>
      <c r="O93" s="44">
        <v>1</v>
      </c>
      <c r="P93" s="44">
        <v>1</v>
      </c>
      <c r="Q93" s="44">
        <v>1</v>
      </c>
      <c r="R93" s="44">
        <v>1</v>
      </c>
      <c r="S93" s="44">
        <v>1</v>
      </c>
      <c r="T93" s="44">
        <v>1</v>
      </c>
      <c r="U93" s="18">
        <v>0</v>
      </c>
      <c r="V93" s="39">
        <v>0</v>
      </c>
    </row>
    <row r="94" spans="1:22" ht="19.95" customHeight="1" x14ac:dyDescent="0.3">
      <c r="A94" s="58"/>
      <c r="B94" s="64"/>
      <c r="C94" s="41" t="s">
        <v>104</v>
      </c>
      <c r="D94" s="32" t="s">
        <v>50</v>
      </c>
      <c r="E94" s="44">
        <v>1</v>
      </c>
      <c r="F94" s="44">
        <v>1</v>
      </c>
      <c r="G94" s="44">
        <v>1</v>
      </c>
      <c r="H94" s="44">
        <v>1</v>
      </c>
      <c r="I94" s="44">
        <v>1</v>
      </c>
      <c r="J94" s="44">
        <v>1</v>
      </c>
      <c r="K94" s="44">
        <v>1</v>
      </c>
      <c r="L94" s="44">
        <v>1</v>
      </c>
      <c r="M94" s="44">
        <v>1</v>
      </c>
      <c r="N94" s="44">
        <v>1</v>
      </c>
      <c r="O94" s="44">
        <v>1</v>
      </c>
      <c r="P94" s="44">
        <v>1</v>
      </c>
      <c r="Q94" s="44">
        <v>1</v>
      </c>
      <c r="R94" s="44">
        <v>1</v>
      </c>
      <c r="S94" s="44">
        <v>1</v>
      </c>
      <c r="T94" s="44">
        <v>1</v>
      </c>
      <c r="U94" s="18">
        <v>0</v>
      </c>
      <c r="V94" s="39">
        <v>0</v>
      </c>
    </row>
    <row r="95" spans="1:22" ht="19.95" customHeight="1" x14ac:dyDescent="0.3">
      <c r="A95" s="58"/>
      <c r="B95" s="64"/>
      <c r="C95" s="41" t="s">
        <v>105</v>
      </c>
      <c r="D95" s="32" t="s">
        <v>49</v>
      </c>
      <c r="E95" s="44">
        <v>2</v>
      </c>
      <c r="F95" s="44">
        <v>2</v>
      </c>
      <c r="G95" s="44">
        <v>2</v>
      </c>
      <c r="H95" s="44">
        <v>2</v>
      </c>
      <c r="I95" s="44">
        <v>2</v>
      </c>
      <c r="J95" s="44">
        <v>2</v>
      </c>
      <c r="K95" s="44">
        <v>2</v>
      </c>
      <c r="L95" s="44">
        <v>2</v>
      </c>
      <c r="M95" s="44">
        <v>2</v>
      </c>
      <c r="N95" s="44">
        <v>2</v>
      </c>
      <c r="O95" s="44">
        <v>2</v>
      </c>
      <c r="P95" s="44">
        <v>2</v>
      </c>
      <c r="Q95" s="44">
        <v>2</v>
      </c>
      <c r="R95" s="44">
        <v>2</v>
      </c>
      <c r="S95" s="44">
        <v>2</v>
      </c>
      <c r="T95" s="44">
        <v>2</v>
      </c>
      <c r="U95" s="18">
        <v>0</v>
      </c>
      <c r="V95" s="39">
        <v>0</v>
      </c>
    </row>
    <row r="96" spans="1:22" ht="19.95" customHeight="1" x14ac:dyDescent="0.3">
      <c r="A96" s="58"/>
      <c r="B96" s="64"/>
      <c r="C96" s="41" t="s">
        <v>106</v>
      </c>
      <c r="D96" s="32" t="s">
        <v>49</v>
      </c>
      <c r="E96" s="44">
        <v>2</v>
      </c>
      <c r="F96" s="44">
        <v>2</v>
      </c>
      <c r="G96" s="44">
        <v>2</v>
      </c>
      <c r="H96" s="44">
        <v>2</v>
      </c>
      <c r="I96" s="44">
        <v>2</v>
      </c>
      <c r="J96" s="44">
        <v>2</v>
      </c>
      <c r="K96" s="44">
        <v>2</v>
      </c>
      <c r="L96" s="44">
        <v>2</v>
      </c>
      <c r="M96" s="44">
        <v>2</v>
      </c>
      <c r="N96" s="44">
        <v>2</v>
      </c>
      <c r="O96" s="44">
        <v>2</v>
      </c>
      <c r="P96" s="44">
        <v>2</v>
      </c>
      <c r="Q96" s="44">
        <v>2</v>
      </c>
      <c r="R96" s="44">
        <v>2</v>
      </c>
      <c r="S96" s="44">
        <v>2</v>
      </c>
      <c r="T96" s="44">
        <v>2</v>
      </c>
      <c r="U96" s="18">
        <v>0</v>
      </c>
      <c r="V96" s="39">
        <v>0</v>
      </c>
    </row>
    <row r="97" spans="1:22" ht="19.95" customHeight="1" x14ac:dyDescent="0.3">
      <c r="A97" s="58"/>
      <c r="B97" s="64"/>
      <c r="C97" s="41" t="s">
        <v>117</v>
      </c>
      <c r="D97" s="32" t="s">
        <v>50</v>
      </c>
      <c r="E97" s="44">
        <v>2</v>
      </c>
      <c r="F97" s="44">
        <v>2</v>
      </c>
      <c r="G97" s="44">
        <v>2</v>
      </c>
      <c r="H97" s="44">
        <v>2</v>
      </c>
      <c r="I97" s="44">
        <v>2</v>
      </c>
      <c r="J97" s="44">
        <v>2</v>
      </c>
      <c r="K97" s="44">
        <v>2</v>
      </c>
      <c r="L97" s="44">
        <v>2</v>
      </c>
      <c r="M97" s="44">
        <v>2</v>
      </c>
      <c r="N97" s="44">
        <v>2</v>
      </c>
      <c r="O97" s="44">
        <v>2</v>
      </c>
      <c r="P97" s="44">
        <v>2</v>
      </c>
      <c r="Q97" s="44">
        <v>2</v>
      </c>
      <c r="R97" s="44">
        <v>2</v>
      </c>
      <c r="S97" s="44">
        <v>2</v>
      </c>
      <c r="T97" s="44">
        <v>2</v>
      </c>
      <c r="U97" s="18">
        <v>0</v>
      </c>
      <c r="V97" s="39">
        <v>0</v>
      </c>
    </row>
    <row r="98" spans="1:22" ht="19.95" customHeight="1" x14ac:dyDescent="0.3">
      <c r="A98" s="58"/>
      <c r="B98" s="64"/>
      <c r="C98" s="41" t="s">
        <v>124</v>
      </c>
      <c r="D98" s="32" t="s">
        <v>50</v>
      </c>
      <c r="E98" s="44">
        <v>2</v>
      </c>
      <c r="F98" s="44">
        <v>2</v>
      </c>
      <c r="G98" s="44">
        <v>2</v>
      </c>
      <c r="H98" s="44">
        <v>2</v>
      </c>
      <c r="I98" s="44">
        <v>2</v>
      </c>
      <c r="J98" s="44">
        <v>2</v>
      </c>
      <c r="K98" s="44">
        <v>2</v>
      </c>
      <c r="L98" s="44">
        <v>2</v>
      </c>
      <c r="M98" s="44">
        <v>2</v>
      </c>
      <c r="N98" s="44">
        <v>2</v>
      </c>
      <c r="O98" s="44">
        <v>2</v>
      </c>
      <c r="P98" s="44">
        <v>2</v>
      </c>
      <c r="Q98" s="44">
        <v>2</v>
      </c>
      <c r="R98" s="44">
        <v>2</v>
      </c>
      <c r="S98" s="44">
        <v>2</v>
      </c>
      <c r="T98" s="44">
        <v>2</v>
      </c>
      <c r="U98" s="18">
        <v>0</v>
      </c>
      <c r="V98" s="39">
        <v>0</v>
      </c>
    </row>
    <row r="99" spans="1:22" ht="19.95" customHeight="1" x14ac:dyDescent="0.3">
      <c r="A99" s="58"/>
      <c r="B99" s="64"/>
      <c r="C99" s="41" t="s">
        <v>107</v>
      </c>
      <c r="D99" s="32" t="s">
        <v>22</v>
      </c>
      <c r="E99" s="44">
        <v>2</v>
      </c>
      <c r="F99" s="44">
        <v>2</v>
      </c>
      <c r="G99" s="44">
        <v>2</v>
      </c>
      <c r="H99" s="44">
        <v>2</v>
      </c>
      <c r="I99" s="44">
        <v>2</v>
      </c>
      <c r="J99" s="44">
        <v>2</v>
      </c>
      <c r="K99" s="44">
        <v>2</v>
      </c>
      <c r="L99" s="44">
        <v>2</v>
      </c>
      <c r="M99" s="44">
        <v>2</v>
      </c>
      <c r="N99" s="44">
        <v>2</v>
      </c>
      <c r="O99" s="44">
        <v>2</v>
      </c>
      <c r="P99" s="44">
        <v>2</v>
      </c>
      <c r="Q99" s="44">
        <v>2</v>
      </c>
      <c r="R99" s="44">
        <v>2</v>
      </c>
      <c r="S99" s="44">
        <v>2</v>
      </c>
      <c r="T99" s="44">
        <v>2</v>
      </c>
      <c r="U99" s="18">
        <v>0</v>
      </c>
      <c r="V99" s="39">
        <v>0</v>
      </c>
    </row>
    <row r="100" spans="1:22" ht="19.95" customHeight="1" x14ac:dyDescent="0.3">
      <c r="A100" s="58"/>
      <c r="B100" s="64"/>
      <c r="C100" s="41" t="s">
        <v>108</v>
      </c>
      <c r="D100" s="32" t="s">
        <v>22</v>
      </c>
      <c r="E100" s="44">
        <v>2</v>
      </c>
      <c r="F100" s="44">
        <v>2</v>
      </c>
      <c r="G100" s="44">
        <v>2</v>
      </c>
      <c r="H100" s="44">
        <v>2</v>
      </c>
      <c r="I100" s="44">
        <v>2</v>
      </c>
      <c r="J100" s="44">
        <v>2</v>
      </c>
      <c r="K100" s="44">
        <v>2</v>
      </c>
      <c r="L100" s="44">
        <v>2</v>
      </c>
      <c r="M100" s="44">
        <v>2</v>
      </c>
      <c r="N100" s="44">
        <v>2</v>
      </c>
      <c r="O100" s="44">
        <v>2</v>
      </c>
      <c r="P100" s="44">
        <v>2</v>
      </c>
      <c r="Q100" s="44">
        <v>2</v>
      </c>
      <c r="R100" s="44">
        <v>2</v>
      </c>
      <c r="S100" s="44">
        <v>2</v>
      </c>
      <c r="T100" s="44">
        <v>2</v>
      </c>
      <c r="U100" s="18">
        <v>0</v>
      </c>
      <c r="V100" s="39">
        <v>0</v>
      </c>
    </row>
    <row r="101" spans="1:22" ht="19.95" customHeight="1" x14ac:dyDescent="0.3">
      <c r="A101" s="58"/>
      <c r="B101" s="64"/>
      <c r="C101" s="41" t="s">
        <v>109</v>
      </c>
      <c r="D101" s="32" t="s">
        <v>49</v>
      </c>
      <c r="E101" s="44">
        <v>2</v>
      </c>
      <c r="F101" s="44">
        <v>2</v>
      </c>
      <c r="G101" s="44">
        <v>2</v>
      </c>
      <c r="H101" s="44">
        <v>2</v>
      </c>
      <c r="I101" s="44">
        <v>2</v>
      </c>
      <c r="J101" s="44">
        <v>2</v>
      </c>
      <c r="K101" s="44">
        <v>2</v>
      </c>
      <c r="L101" s="44">
        <v>2</v>
      </c>
      <c r="M101" s="44">
        <v>2</v>
      </c>
      <c r="N101" s="44">
        <v>2</v>
      </c>
      <c r="O101" s="44">
        <v>2</v>
      </c>
      <c r="P101" s="44">
        <v>2</v>
      </c>
      <c r="Q101" s="44">
        <v>2</v>
      </c>
      <c r="R101" s="44">
        <v>2</v>
      </c>
      <c r="S101" s="44">
        <v>2</v>
      </c>
      <c r="T101" s="44">
        <v>2</v>
      </c>
      <c r="U101" s="18">
        <v>0</v>
      </c>
      <c r="V101" s="39">
        <v>0</v>
      </c>
    </row>
    <row r="102" spans="1:22" ht="19.95" customHeight="1" x14ac:dyDescent="0.3">
      <c r="A102" s="58"/>
      <c r="B102" s="64"/>
      <c r="C102" s="41" t="s">
        <v>110</v>
      </c>
      <c r="D102" s="32" t="s">
        <v>50</v>
      </c>
      <c r="E102" s="44">
        <v>2</v>
      </c>
      <c r="F102" s="44">
        <v>2</v>
      </c>
      <c r="G102" s="44">
        <v>2</v>
      </c>
      <c r="H102" s="44">
        <v>2</v>
      </c>
      <c r="I102" s="44">
        <v>2</v>
      </c>
      <c r="J102" s="44">
        <v>2</v>
      </c>
      <c r="K102" s="44">
        <v>2</v>
      </c>
      <c r="L102" s="44">
        <v>2</v>
      </c>
      <c r="M102" s="44">
        <v>2</v>
      </c>
      <c r="N102" s="44">
        <v>2</v>
      </c>
      <c r="O102" s="44">
        <v>2</v>
      </c>
      <c r="P102" s="44">
        <v>2</v>
      </c>
      <c r="Q102" s="44">
        <v>2</v>
      </c>
      <c r="R102" s="44">
        <v>2</v>
      </c>
      <c r="S102" s="44">
        <v>2</v>
      </c>
      <c r="T102" s="44">
        <v>2</v>
      </c>
      <c r="U102" s="18">
        <v>0</v>
      </c>
      <c r="V102" s="39">
        <v>0</v>
      </c>
    </row>
    <row r="103" spans="1:22" ht="19.95" customHeight="1" x14ac:dyDescent="0.3">
      <c r="A103" s="58"/>
      <c r="B103" s="65" t="s">
        <v>13</v>
      </c>
      <c r="C103" s="15" t="s">
        <v>47</v>
      </c>
      <c r="D103" s="35" t="s">
        <v>17</v>
      </c>
      <c r="E103" s="44">
        <v>5</v>
      </c>
      <c r="F103" s="44">
        <v>5</v>
      </c>
      <c r="G103" s="44">
        <v>5</v>
      </c>
      <c r="H103" s="44">
        <v>5</v>
      </c>
      <c r="I103" s="44">
        <v>5</v>
      </c>
      <c r="J103" s="44">
        <v>5</v>
      </c>
      <c r="K103" s="44">
        <v>5</v>
      </c>
      <c r="L103" s="44">
        <v>5</v>
      </c>
      <c r="M103" s="44">
        <v>5</v>
      </c>
      <c r="N103" s="44">
        <v>5</v>
      </c>
      <c r="O103" s="44">
        <v>5</v>
      </c>
      <c r="P103" s="44">
        <v>5</v>
      </c>
      <c r="Q103" s="44">
        <v>5</v>
      </c>
      <c r="R103" s="44">
        <v>5</v>
      </c>
      <c r="S103" s="44">
        <v>5</v>
      </c>
      <c r="T103" s="44">
        <v>5</v>
      </c>
      <c r="U103" s="44">
        <v>5</v>
      </c>
      <c r="V103" s="18">
        <v>0</v>
      </c>
    </row>
    <row r="104" spans="1:22" ht="19.95" customHeight="1" x14ac:dyDescent="0.3">
      <c r="A104" s="58"/>
      <c r="B104" s="66"/>
      <c r="C104" s="36" t="s">
        <v>48</v>
      </c>
      <c r="D104" s="34" t="s">
        <v>17</v>
      </c>
      <c r="E104" s="44">
        <v>5</v>
      </c>
      <c r="F104" s="44">
        <v>5</v>
      </c>
      <c r="G104" s="44">
        <v>5</v>
      </c>
      <c r="H104" s="44">
        <v>5</v>
      </c>
      <c r="I104" s="44">
        <v>5</v>
      </c>
      <c r="J104" s="44">
        <v>5</v>
      </c>
      <c r="K104" s="44">
        <v>5</v>
      </c>
      <c r="L104" s="44">
        <v>5</v>
      </c>
      <c r="M104" s="44">
        <v>5</v>
      </c>
      <c r="N104" s="44">
        <v>5</v>
      </c>
      <c r="O104" s="44">
        <v>5</v>
      </c>
      <c r="P104" s="44">
        <v>5</v>
      </c>
      <c r="Q104" s="44">
        <v>5</v>
      </c>
      <c r="R104" s="44">
        <v>5</v>
      </c>
      <c r="S104" s="44">
        <v>5</v>
      </c>
      <c r="T104" s="44">
        <v>5</v>
      </c>
      <c r="U104" s="44">
        <v>5</v>
      </c>
      <c r="V104" s="18">
        <v>0</v>
      </c>
    </row>
    <row r="105" spans="1:22" ht="19.95" customHeight="1" x14ac:dyDescent="0.3">
      <c r="A105" s="58"/>
      <c r="B105" s="67" t="s">
        <v>10</v>
      </c>
      <c r="C105" s="67"/>
      <c r="D105" s="68" t="s">
        <v>9</v>
      </c>
      <c r="E105" s="69"/>
      <c r="F105" s="46">
        <f>SUM(E17:E104)</f>
        <v>174</v>
      </c>
      <c r="G105" s="13">
        <f>SUM(G17:G104)</f>
        <v>168</v>
      </c>
      <c r="H105" s="13">
        <f>SUM(H17:H104)</f>
        <v>164</v>
      </c>
      <c r="I105" s="13">
        <f>SUM(I17:I104)</f>
        <v>160</v>
      </c>
      <c r="J105" s="13">
        <f>SUM(J17:J104)-J25-J25</f>
        <v>147</v>
      </c>
      <c r="K105" s="13">
        <f>SUM(K17:K104)</f>
        <v>132</v>
      </c>
      <c r="L105" s="13">
        <f>SUM(L17:L104)</f>
        <v>119</v>
      </c>
      <c r="M105" s="13">
        <f>SUM(M17:M104)-M45-M45-M40+M40</f>
        <v>97</v>
      </c>
      <c r="N105" s="13">
        <f>SUM(N17:N104)</f>
        <v>87</v>
      </c>
      <c r="O105" s="13">
        <f>SUM(O17:O104)</f>
        <v>75</v>
      </c>
      <c r="P105" s="13">
        <f>SUM(P17:P104)-P56-P56-P58-P58</f>
        <v>57</v>
      </c>
      <c r="Q105" s="13">
        <f t="shared" ref="Q105:V105" si="0">SUM(Q17:Q104)</f>
        <v>52</v>
      </c>
      <c r="R105" s="13">
        <f t="shared" si="0"/>
        <v>48</v>
      </c>
      <c r="S105" s="13">
        <f t="shared" si="0"/>
        <v>38</v>
      </c>
      <c r="T105" s="13">
        <f t="shared" si="0"/>
        <v>28</v>
      </c>
      <c r="U105" s="13">
        <f t="shared" si="0"/>
        <v>10</v>
      </c>
      <c r="V105" s="13">
        <f t="shared" si="0"/>
        <v>0</v>
      </c>
    </row>
    <row r="106" spans="1:22" ht="19.95" customHeight="1" x14ac:dyDescent="0.3">
      <c r="A106" s="58"/>
      <c r="B106" s="67"/>
      <c r="C106" s="67"/>
      <c r="D106" s="68" t="s">
        <v>18</v>
      </c>
      <c r="E106" s="68"/>
      <c r="F106" s="13">
        <f>SUM(F17:F104)</f>
        <v>178</v>
      </c>
      <c r="G106" s="13">
        <f>SUM(G17:G104)</f>
        <v>168</v>
      </c>
      <c r="H106" s="13">
        <f>SUM(H17:H104)</f>
        <v>164</v>
      </c>
      <c r="I106" s="13">
        <f>SUM(I17:I104)</f>
        <v>160</v>
      </c>
      <c r="J106" s="13">
        <f>SUM(J17:J104)-J25</f>
        <v>148</v>
      </c>
      <c r="K106" s="13">
        <f>SUM(K17:K104)-K28</f>
        <v>130</v>
      </c>
      <c r="L106" s="13">
        <f>SUM(L17:L104)</f>
        <v>119</v>
      </c>
      <c r="M106" s="13">
        <f>SUM(M17:M104)-M45-M40</f>
        <v>100</v>
      </c>
      <c r="N106" s="13">
        <f>SUM(N17:N104)</f>
        <v>87</v>
      </c>
      <c r="O106" s="13">
        <f>SUM(O17:O104)-O51-O54</f>
        <v>73</v>
      </c>
      <c r="P106" s="13">
        <f>SUM(P17:P104)-P56-P58-P66-P68</f>
        <v>57</v>
      </c>
      <c r="Q106" s="13">
        <f t="shared" ref="Q106:V106" si="1">SUM(Q17:Q104)</f>
        <v>52</v>
      </c>
      <c r="R106" s="13">
        <f t="shared" si="1"/>
        <v>48</v>
      </c>
      <c r="S106" s="13">
        <f t="shared" si="1"/>
        <v>38</v>
      </c>
      <c r="T106" s="13">
        <f t="shared" si="1"/>
        <v>28</v>
      </c>
      <c r="U106" s="13">
        <f t="shared" si="1"/>
        <v>10</v>
      </c>
      <c r="V106" s="13">
        <f t="shared" si="1"/>
        <v>0</v>
      </c>
    </row>
    <row r="107" spans="1:22" ht="19.95" customHeight="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V107" s="1"/>
    </row>
    <row r="108" spans="1:22" ht="19.95" customHeight="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V108" s="1"/>
    </row>
    <row r="109" spans="1:22" ht="19.95" customHeight="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1:22" ht="19.95" customHeight="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1:22" ht="19.95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1:22" ht="19.95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1:18" ht="19.95" customHeigh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1:18" ht="19.95" customHeigh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1:18" ht="19.9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spans="1:18" ht="19.9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1:18" ht="19.9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1:18" ht="19.9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1:18" ht="19.9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spans="1:18" ht="19.95" customHeigh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18" ht="19.95" customHeigh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18" ht="19.9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18" ht="19.9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1:18" ht="19.9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18" ht="19.9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1:18" ht="19.9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18" ht="19.9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1:18" ht="19.9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1:18" ht="19.9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1:18" ht="19.9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1:18" ht="19.9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spans="1:18" ht="19.9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1:18" ht="19.9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spans="1:18" ht="19.9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1:18" ht="19.9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spans="1:18" ht="19.9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1:18" ht="19.9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spans="1:18" ht="19.9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1:18" ht="19.9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1:18" ht="19.9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1:18" ht="19.9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1:18" ht="19.9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1:18" ht="19.9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spans="1:18" ht="19.9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spans="1:18" ht="19.95" customHeight="1" x14ac:dyDescent="0.3">
      <c r="A145" s="1"/>
      <c r="B145" s="1"/>
      <c r="C145" s="1"/>
      <c r="D145" s="1"/>
      <c r="E145" s="1"/>
      <c r="F145" s="1"/>
      <c r="G145" s="1"/>
      <c r="H145" s="1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spans="1:18" ht="19.95" customHeight="1" x14ac:dyDescent="0.3">
      <c r="A146" s="1"/>
      <c r="B146" s="1"/>
      <c r="C146" s="1"/>
      <c r="D146" s="1"/>
      <c r="E146" s="1"/>
      <c r="F146" s="1"/>
      <c r="G146" s="1"/>
      <c r="H146" s="1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spans="1:18" ht="19.95" customHeight="1" x14ac:dyDescent="0.3">
      <c r="A147" s="1"/>
      <c r="B147" s="1"/>
      <c r="C147" s="1"/>
      <c r="D147" s="1"/>
      <c r="E147" s="1"/>
      <c r="F147" s="1"/>
      <c r="G147" s="1"/>
      <c r="H147" s="1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spans="1:18" ht="19.95" customHeight="1" x14ac:dyDescent="0.3">
      <c r="A148" s="1"/>
      <c r="B148" s="1"/>
      <c r="C148" s="1"/>
      <c r="D148" s="1"/>
      <c r="E148" s="1"/>
      <c r="F148" s="1"/>
      <c r="G148" s="1"/>
      <c r="H148" s="1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spans="1:18" ht="19.95" customHeight="1" x14ac:dyDescent="0.3">
      <c r="A149" s="1"/>
      <c r="B149" s="1"/>
      <c r="C149" s="1"/>
      <c r="D149" s="1"/>
      <c r="E149" s="1"/>
      <c r="F149" s="1"/>
      <c r="G149" s="1"/>
      <c r="H149" s="1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 spans="1:18" ht="19.95" customHeight="1" x14ac:dyDescent="0.3">
      <c r="A150" s="1"/>
      <c r="B150" s="1"/>
      <c r="C150" s="1"/>
      <c r="D150" s="1"/>
      <c r="E150" s="1"/>
      <c r="F150" s="1"/>
      <c r="G150" s="1"/>
      <c r="H150" s="1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spans="1:18" ht="19.95" customHeight="1" x14ac:dyDescent="0.3">
      <c r="A151" s="1"/>
      <c r="B151" s="1"/>
      <c r="C151" s="1"/>
      <c r="D151" s="1"/>
      <c r="E151" s="1"/>
      <c r="F151" s="1"/>
      <c r="G151" s="1"/>
      <c r="H151" s="1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 spans="1:18" ht="19.95" customHeight="1" x14ac:dyDescent="0.3">
      <c r="A152" s="1"/>
      <c r="B152" s="1"/>
      <c r="C152" s="1"/>
      <c r="D152" s="1"/>
      <c r="E152" s="1"/>
      <c r="F152" s="1"/>
      <c r="G152" s="1"/>
      <c r="H152" s="1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spans="1:18" ht="19.95" customHeight="1" x14ac:dyDescent="0.3">
      <c r="A153" s="1"/>
      <c r="B153" s="1"/>
      <c r="C153" s="1"/>
      <c r="D153" s="1"/>
      <c r="E153" s="1"/>
      <c r="F153" s="1"/>
      <c r="G153" s="1"/>
      <c r="H153" s="1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 spans="1:18" ht="19.95" customHeight="1" x14ac:dyDescent="0.3">
      <c r="A154" s="1"/>
      <c r="B154" s="1"/>
      <c r="C154" s="1"/>
      <c r="D154" s="1"/>
      <c r="E154" s="1"/>
      <c r="F154" s="1"/>
      <c r="G154" s="1"/>
      <c r="H154" s="1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spans="1:18" ht="19.95" customHeight="1" x14ac:dyDescent="0.3">
      <c r="A155" s="1"/>
      <c r="B155" s="1"/>
      <c r="C155" s="1"/>
      <c r="D155" s="1"/>
      <c r="E155" s="1"/>
      <c r="F155" s="1"/>
      <c r="G155" s="1"/>
      <c r="H155" s="1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 spans="1:18" ht="19.95" customHeight="1" x14ac:dyDescent="0.3">
      <c r="A156" s="1"/>
      <c r="B156" s="1"/>
      <c r="C156" s="1"/>
      <c r="D156" s="1"/>
      <c r="E156" s="1"/>
      <c r="F156" s="1"/>
      <c r="G156" s="1"/>
      <c r="H156" s="1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1:18" ht="19.95" customHeight="1" x14ac:dyDescent="0.3">
      <c r="A157" s="1"/>
      <c r="B157" s="1"/>
      <c r="C157" s="1"/>
      <c r="D157" s="1"/>
      <c r="E157" s="1"/>
      <c r="F157" s="1"/>
      <c r="G157" s="1"/>
      <c r="H157" s="1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 spans="1:18" ht="19.95" customHeight="1" x14ac:dyDescent="0.3">
      <c r="A158" s="1"/>
      <c r="B158" s="1"/>
      <c r="C158" s="1"/>
      <c r="D158" s="1"/>
      <c r="E158" s="1"/>
      <c r="F158" s="1"/>
      <c r="G158" s="1"/>
      <c r="H158" s="1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1:18" ht="19.95" customHeight="1" x14ac:dyDescent="0.3">
      <c r="A159" s="1"/>
      <c r="B159" s="1"/>
      <c r="C159" s="1"/>
      <c r="D159" s="1"/>
      <c r="E159" s="1"/>
      <c r="F159" s="1"/>
      <c r="G159" s="1"/>
      <c r="H159" s="1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spans="1:18" ht="19.95" customHeight="1" x14ac:dyDescent="0.3">
      <c r="A160" s="1"/>
      <c r="B160" s="1"/>
      <c r="C160" s="1"/>
      <c r="D160" s="1"/>
      <c r="E160" s="1"/>
      <c r="F160" s="1"/>
      <c r="G160" s="1"/>
      <c r="H160" s="1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1:18" ht="19.95" customHeight="1" x14ac:dyDescent="0.3">
      <c r="A161" s="1"/>
      <c r="B161" s="1"/>
      <c r="C161" s="1"/>
      <c r="D161" s="1"/>
      <c r="E161" s="1"/>
      <c r="F161" s="1"/>
      <c r="G161" s="1"/>
      <c r="H161" s="1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spans="1:18" ht="19.95" customHeight="1" x14ac:dyDescent="0.3">
      <c r="A162" s="1"/>
      <c r="B162" s="1"/>
      <c r="C162" s="1"/>
      <c r="D162" s="1"/>
      <c r="E162" s="1"/>
      <c r="F162" s="1"/>
      <c r="G162" s="1"/>
      <c r="H162" s="1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1:18" ht="19.95" customHeight="1" x14ac:dyDescent="0.3">
      <c r="A163" s="1"/>
      <c r="B163" s="1"/>
      <c r="C163" s="1"/>
      <c r="D163" s="1"/>
      <c r="E163" s="1"/>
      <c r="F163" s="1"/>
      <c r="G163" s="1"/>
      <c r="H163" s="1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spans="1:18" ht="19.95" customHeight="1" x14ac:dyDescent="0.3">
      <c r="A164" s="1"/>
      <c r="B164" s="1"/>
      <c r="C164" s="1"/>
      <c r="D164" s="1"/>
      <c r="E164" s="1"/>
      <c r="F164" s="1"/>
      <c r="G164" s="1"/>
      <c r="H164" s="1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spans="1:18" ht="19.95" customHeight="1" x14ac:dyDescent="0.3">
      <c r="A165" s="1"/>
      <c r="B165" s="1"/>
      <c r="C165" s="1"/>
      <c r="D165" s="1"/>
      <c r="E165" s="1"/>
      <c r="F165" s="1"/>
      <c r="G165" s="1"/>
      <c r="H165" s="1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spans="1:18" ht="19.95" customHeight="1" x14ac:dyDescent="0.3">
      <c r="A166" s="1"/>
      <c r="B166" s="1"/>
      <c r="C166" s="1"/>
      <c r="D166" s="1"/>
      <c r="E166" s="1"/>
      <c r="F166" s="1"/>
      <c r="G166" s="1"/>
      <c r="H166" s="1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spans="1:18" ht="19.95" customHeight="1" x14ac:dyDescent="0.3">
      <c r="A167" s="1"/>
      <c r="B167" s="1"/>
      <c r="C167" s="1"/>
      <c r="D167" s="1"/>
      <c r="E167" s="1"/>
      <c r="F167" s="1"/>
      <c r="G167" s="1"/>
      <c r="H167" s="1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 spans="1:18" ht="19.95" customHeight="1" x14ac:dyDescent="0.3">
      <c r="A168" s="1"/>
      <c r="B168" s="1"/>
      <c r="C168" s="1"/>
      <c r="D168" s="1"/>
      <c r="E168" s="1"/>
      <c r="F168" s="1"/>
      <c r="G168" s="1"/>
      <c r="H168" s="1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spans="1:18" ht="19.95" customHeight="1" x14ac:dyDescent="0.3">
      <c r="A169" s="1"/>
      <c r="B169" s="1"/>
      <c r="C169" s="1"/>
      <c r="D169" s="1"/>
      <c r="E169" s="1"/>
      <c r="F169" s="1"/>
      <c r="G169" s="1"/>
      <c r="H169" s="1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 spans="1:18" ht="19.95" customHeight="1" x14ac:dyDescent="0.3">
      <c r="A170" s="1"/>
      <c r="B170" s="1"/>
      <c r="C170" s="1"/>
      <c r="D170" s="1"/>
      <c r="E170" s="1"/>
      <c r="F170" s="1"/>
      <c r="G170" s="1"/>
      <c r="H170" s="1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spans="1:18" ht="19.95" customHeight="1" x14ac:dyDescent="0.3">
      <c r="A171" s="1"/>
      <c r="B171" s="1"/>
      <c r="C171" s="1"/>
      <c r="D171" s="1"/>
      <c r="E171" s="1"/>
      <c r="F171" s="1"/>
      <c r="G171" s="1"/>
      <c r="H171" s="1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 spans="1:18" ht="19.95" customHeight="1" x14ac:dyDescent="0.3">
      <c r="A172" s="1"/>
      <c r="B172" s="1"/>
      <c r="C172" s="1"/>
      <c r="D172" s="1"/>
      <c r="E172" s="1"/>
      <c r="F172" s="1"/>
      <c r="G172" s="1"/>
      <c r="H172" s="1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spans="1:18" ht="19.95" customHeight="1" x14ac:dyDescent="0.3">
      <c r="A173" s="1"/>
      <c r="B173" s="1"/>
      <c r="C173" s="1"/>
      <c r="D173" s="1"/>
      <c r="E173" s="1"/>
      <c r="F173" s="1"/>
      <c r="G173" s="1"/>
      <c r="H173" s="1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 spans="1:18" ht="19.95" customHeight="1" x14ac:dyDescent="0.3">
      <c r="A174" s="1"/>
      <c r="B174" s="1"/>
      <c r="C174" s="1"/>
      <c r="D174" s="1"/>
      <c r="E174" s="1"/>
      <c r="F174" s="1"/>
      <c r="G174" s="1"/>
      <c r="H174" s="1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spans="1:18" ht="19.95" customHeight="1" x14ac:dyDescent="0.3">
      <c r="A175" s="1"/>
      <c r="B175" s="1"/>
      <c r="C175" s="1"/>
      <c r="D175" s="1"/>
      <c r="E175" s="1"/>
      <c r="F175" s="1"/>
      <c r="G175" s="1"/>
      <c r="H175" s="1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 spans="1:18" ht="19.95" customHeight="1" x14ac:dyDescent="0.3">
      <c r="A176" s="1"/>
      <c r="B176" s="1"/>
      <c r="C176" s="1"/>
      <c r="D176" s="1"/>
      <c r="E176" s="1"/>
      <c r="F176" s="1"/>
      <c r="G176" s="1"/>
      <c r="H176" s="1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spans="1:29" ht="19.95" customHeight="1" x14ac:dyDescent="0.3">
      <c r="A177" s="1"/>
      <c r="B177" s="1"/>
      <c r="C177" s="1"/>
      <c r="D177" s="1"/>
      <c r="E177" s="1"/>
      <c r="F177" s="1"/>
      <c r="G177" s="1"/>
      <c r="H177" s="1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spans="1:29" ht="19.95" customHeight="1" x14ac:dyDescent="0.3">
      <c r="A178" s="1"/>
      <c r="B178" s="1"/>
      <c r="C178" s="1"/>
      <c r="D178" s="1"/>
      <c r="E178" s="1"/>
      <c r="F178" s="1"/>
      <c r="G178" s="1"/>
      <c r="H178" s="1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1:29" ht="19.9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spans="1:29" ht="19.9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spans="1:29" ht="19.9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spans="1:29" ht="19.9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spans="1:29" ht="19.9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spans="1:29" ht="19.9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spans="1:29" ht="19.9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spans="1:29" ht="19.9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spans="1:29" ht="19.9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spans="1:29" ht="19.9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spans="1:29" ht="19.9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spans="1:29" ht="19.9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spans="1:29" ht="19.9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spans="1:29" ht="19.9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spans="1:29" ht="19.9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spans="1:29" ht="19.9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1:29" ht="19.9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1:29" ht="19.9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1:29" ht="19.9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1:29" ht="19.9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1:29" ht="19.9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1:29" ht="19.9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1:29" ht="19.9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1:29" ht="19.9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1:29" ht="19.9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1:29" ht="19.9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1:29" ht="19.9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spans="1:29" ht="19.9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1:29" ht="19.9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spans="1:29" ht="19.9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1:29" ht="19.9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1:29" ht="19.9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1:29" ht="19.9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1:29" ht="19.9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1:29" ht="19.9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1:29" ht="19.9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1:29" ht="19.9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spans="1:29" ht="19.9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29" ht="19.9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spans="1:29" ht="19.9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1:29" ht="19.9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1:29" ht="19.9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1:29" ht="19.9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1:29" ht="19.9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1:29" ht="19.9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1:29" ht="19.9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1:29" ht="19.9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1:29" ht="19.9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1:29" ht="19.9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1:29" ht="19.9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1:29" ht="19.9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1:29" ht="19.9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1:29" ht="19.9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spans="1:29" ht="19.9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1:29" ht="19.9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spans="1:29" ht="19.9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1:29" ht="19.9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1:29" ht="19.9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1:29" ht="19.9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1:29" ht="19.9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1:29" ht="19.9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1:29" ht="19.9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1:29" ht="19.9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1:29" ht="19.9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1:29" ht="19.9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1:29" ht="19.9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1:29" ht="19.9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1:29" ht="19.9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1:29" ht="19.9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1:29" ht="19.9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1:29" ht="19.9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1:29" ht="19.9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1:29" ht="19.9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1:29" ht="19.9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1:29" ht="19.9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1:29" ht="19.9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1:29" ht="19.9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1:29" ht="19.9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1:29" ht="19.9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1:29" ht="19.9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1:29" ht="19.9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1:29" ht="19.9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1:29" ht="19.9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1:29" ht="19.9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1:29" ht="19.9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1:29" ht="19.9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1:29" ht="19.9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1:29" ht="19.9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1:29" ht="19.9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1:29" ht="19.9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1:29" ht="19.9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1:29" ht="19.9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1:29" ht="19.9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1:29" ht="19.9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1:29" ht="19.9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1:29" ht="19.9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1:29" ht="19.9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1:29" ht="19.9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1:29" ht="19.9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1:29" ht="19.9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1:29" ht="19.9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1:29" ht="19.9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1:29" ht="19.9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1:29" ht="19.9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1:29" ht="19.9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1:29" ht="19.9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1:29" ht="19.9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1:29" ht="19.9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1:29" ht="19.9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1:29" ht="19.9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1:29" ht="19.9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1:29" ht="19.9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1:29" ht="19.9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1:29" ht="19.9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1:29" ht="19.9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1:29" ht="19.9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1:29" ht="19.9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1:29" ht="19.9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1:29" ht="19.9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1:29" ht="19.9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1:29" ht="19.9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1:29" ht="19.9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1:29" ht="19.9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1:29" ht="19.9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1:29" ht="19.9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1:29" ht="19.9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1:29" ht="19.9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1:29" ht="19.9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1:29" ht="19.9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1:29" ht="19.9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1:29" ht="19.9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1:29" ht="19.9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1:29" ht="19.9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1:29" ht="19.9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1:29" ht="19.9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1:29" ht="19.9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1:29" ht="19.9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1:29" ht="19.9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1:29" ht="19.9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1:29" ht="19.9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1:29" ht="19.9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1:29" ht="19.9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1:29" ht="19.9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1:29" ht="19.9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1:29" ht="19.9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1:29" ht="19.9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1:29" ht="19.9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1:29" ht="19.9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1:29" ht="19.9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1:29" ht="19.9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1:29" ht="19.9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1:29" ht="19.9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1:29" ht="19.9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1:29" ht="19.9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1:29" ht="19.9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1:29" ht="19.9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1:29" ht="19.9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1:29" ht="19.9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1:29" ht="19.9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1:29" ht="19.9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1:29" ht="19.9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1:29" ht="19.9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1:29" ht="19.9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1:29" ht="19.9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1:29" ht="19.9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1:29" ht="19.9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1:29" ht="19.9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1:29" ht="19.9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1:29" ht="19.9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1:29" ht="19.9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1:29" ht="19.9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1:29" ht="19.9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1:29" ht="19.9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1:29" ht="19.9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1:29" ht="19.9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1:29" ht="19.9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1:29" ht="19.9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1:29" ht="19.9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1:29" ht="19.9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1:29" ht="19.9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1:29" ht="19.9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1:29" ht="19.9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1:29" ht="19.9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1:29" ht="19.9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:29" ht="19.9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1:29" ht="19.9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1:29" ht="19.9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1:29" ht="19.9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spans="1:29" ht="19.9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spans="1:29" ht="19.9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spans="1:29" ht="19.9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spans="1:29" ht="19.9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spans="1:29" ht="19.9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spans="1:29" ht="19.9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spans="1:29" ht="19.9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spans="1:29" ht="19.9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spans="1:29" ht="19.9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spans="1:29" ht="19.9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spans="1:29" ht="19.9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spans="1:29" ht="19.9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spans="1:29" ht="19.9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spans="1:29" ht="19.9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spans="1:29" ht="19.9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spans="1:29" ht="19.9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spans="1:29" ht="19.9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spans="1:29" ht="19.9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spans="1:29" ht="19.9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spans="1:29" ht="19.9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spans="1:29" ht="19.9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spans="1:29" ht="19.9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spans="1:29" ht="19.9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spans="1:29" ht="19.9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spans="1:29" ht="19.9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spans="1:29" ht="19.9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spans="1:29" ht="19.9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spans="1:29" ht="19.9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spans="1:29" ht="19.9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spans="1:29" ht="19.9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spans="1:29" ht="19.9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spans="1:29" ht="19.9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spans="1:29" ht="19.9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spans="1:29" ht="19.9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spans="1:29" ht="19.9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spans="1:29" ht="19.9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spans="1:29" ht="19.9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spans="1:29" ht="19.9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spans="1:29" ht="19.9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spans="1:29" ht="19.9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spans="1:29" ht="19.9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spans="1:29" ht="19.9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spans="1:29" ht="19.9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spans="1:29" ht="19.9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spans="1:29" ht="19.9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spans="1:29" ht="19.9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spans="1:29" ht="19.9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spans="1:29" ht="19.9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spans="1:29" ht="19.9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spans="1:29" ht="19.9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spans="1:29" ht="19.9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spans="1:29" ht="19.9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spans="1:29" ht="19.9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spans="1:29" ht="19.9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spans="1:29" ht="19.9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spans="1:29" ht="19.9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spans="1:29" ht="19.9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spans="1:29" ht="19.9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spans="1:29" ht="19.9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spans="1:29" ht="19.9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spans="1:29" ht="19.9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spans="1:29" ht="19.9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spans="1:29" ht="19.9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spans="1:29" ht="19.9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spans="1:29" ht="19.9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spans="1:29" ht="19.9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spans="1:29" ht="19.9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spans="1:29" ht="19.9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spans="1:29" ht="19.9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spans="1:29" ht="19.9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spans="1:29" ht="19.9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spans="1:29" ht="19.9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spans="1:29" ht="19.9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spans="1:29" ht="19.9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spans="1:29" ht="19.9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spans="1:29" ht="19.9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spans="1:29" ht="19.9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spans="1:29" ht="19.9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spans="1:29" ht="19.9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spans="1:29" ht="19.9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spans="1:29" ht="19.9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spans="1:29" ht="19.9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spans="1:29" ht="19.9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spans="1:29" ht="19.9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spans="1:29" ht="19.9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spans="1:29" ht="19.9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spans="1:29" ht="19.9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spans="1:29" ht="19.9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spans="1:29" ht="19.9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spans="1:29" ht="19.9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spans="1:29" ht="19.9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spans="1:29" ht="19.9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spans="1:29" ht="19.9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spans="1:29" ht="19.9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spans="1:29" ht="19.9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spans="1:29" ht="19.9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spans="1:29" ht="19.9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spans="1:29" ht="19.9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spans="1:29" ht="19.9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spans="1:29" ht="19.9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spans="1:29" ht="19.9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spans="1:29" ht="19.9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spans="1:29" ht="19.9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spans="1:29" ht="19.9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spans="1:29" ht="19.9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spans="1:29" ht="19.9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spans="1:29" ht="19.9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spans="1:29" ht="19.9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spans="1:29" ht="19.9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spans="1:29" ht="19.9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spans="1:29" ht="19.9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spans="1:29" ht="19.9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spans="1:29" ht="19.9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spans="1:29" ht="19.9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spans="1:29" ht="19.9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spans="1:29" ht="19.9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spans="1:29" ht="19.9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spans="1:29" ht="19.9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spans="1:29" ht="19.9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spans="1:29" ht="19.9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spans="1:29" ht="19.9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spans="1:29" ht="19.9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spans="1:29" ht="19.9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spans="1:29" ht="19.9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spans="1:29" ht="19.9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spans="1:29" ht="19.9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spans="1:29" ht="19.9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spans="1:29" ht="19.9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spans="1:29" ht="19.9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spans="1:29" ht="19.9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spans="1:29" ht="19.9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spans="1:29" ht="19.9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spans="1:29" ht="19.9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spans="1:29" ht="19.9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spans="1:29" ht="19.9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spans="1:29" ht="19.9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spans="1:29" ht="19.9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spans="1:29" ht="19.9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spans="1:29" ht="19.9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spans="1:29" ht="19.9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spans="1:29" ht="19.9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spans="1:29" ht="19.9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spans="1:29" ht="19.9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spans="1:29" ht="19.9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spans="1:29" ht="19.9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spans="1:29" ht="19.9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spans="1:29" ht="19.9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spans="1:29" ht="19.9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spans="1:29" ht="19.9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spans="1:29" ht="19.9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spans="1:29" ht="19.9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spans="1:29" ht="19.9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spans="1:29" ht="19.9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spans="1:29" ht="19.9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spans="1:29" ht="19.9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spans="1:29" ht="19.9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spans="1:29" ht="19.9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spans="1:29" ht="19.9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spans="1:29" ht="19.9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spans="1:29" ht="19.9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spans="1:29" ht="19.9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spans="1:29" ht="19.9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spans="1:29" ht="19.9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spans="1:29" ht="19.9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spans="1:29" ht="19.9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spans="1:29" ht="19.9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spans="1:29" ht="19.9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spans="1:29" ht="19.9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spans="1:29" ht="19.9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spans="1:29" ht="19.9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spans="1:29" ht="19.9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spans="1:29" ht="19.9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spans="1:29" ht="19.9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spans="1:29" ht="19.9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spans="1:29" ht="19.9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spans="1:29" ht="19.9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spans="1:29" ht="19.9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spans="1:29" ht="19.9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spans="1:29" ht="19.9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spans="1:29" ht="19.9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spans="1:29" ht="19.9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spans="1:29" ht="19.9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spans="1:29" ht="19.9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spans="1:29" ht="19.9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spans="1:29" ht="19.9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spans="1:29" ht="19.9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spans="1:29" ht="19.9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spans="1:29" ht="19.9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spans="1:29" ht="19.9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spans="1:29" ht="19.9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spans="1:29" ht="19.9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spans="1:29" ht="19.9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spans="1:29" ht="19.9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spans="1:29" ht="19.9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spans="1:29" ht="19.9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spans="1:29" ht="19.9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spans="1:29" ht="19.9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spans="1:29" ht="19.9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spans="1:29" ht="19.9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spans="1:29" ht="19.9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spans="1:29" ht="19.9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spans="1:29" ht="19.9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spans="1:29" ht="19.9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spans="1:29" ht="19.9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spans="1:29" ht="19.9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spans="1:29" ht="19.9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spans="1:29" ht="19.9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spans="1:29" ht="19.9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spans="1:29" ht="19.9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spans="1:29" ht="19.9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spans="1:29" ht="19.9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spans="1:29" ht="19.9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spans="1:29" ht="19.9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spans="1:29" ht="19.9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spans="1:29" ht="19.9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spans="1:29" ht="19.9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spans="1:29" ht="19.9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spans="1:29" ht="19.9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spans="1:29" ht="19.9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spans="1:29" ht="19.9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spans="1:29" ht="19.9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spans="1:29" ht="19.9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spans="1:29" ht="19.9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spans="1:29" ht="19.9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spans="1:29" ht="19.9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spans="1:29" ht="19.9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spans="1:29" ht="19.9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spans="1:29" ht="19.9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spans="1:29" ht="19.9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spans="1:29" ht="19.9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spans="1:29" ht="19.9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spans="1:29" ht="19.9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spans="1:29" ht="19.9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spans="1:29" ht="19.9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spans="1:29" ht="19.9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spans="1:29" ht="19.9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spans="1:29" ht="19.9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spans="1:29" ht="19.9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spans="1:29" ht="19.9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spans="1:29" ht="19.9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spans="1:29" ht="19.9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spans="1:29" ht="19.9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spans="1:29" ht="19.9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spans="1:29" ht="19.9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spans="1:29" ht="19.9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spans="1:29" ht="19.9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spans="1:29" ht="19.9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spans="1:29" ht="19.9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spans="1:29" ht="19.9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spans="1:29" ht="19.9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spans="1:29" ht="19.9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spans="1:29" ht="19.9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9.9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9.9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9.9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9.9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9.9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9.9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9.9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9.9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9.9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9.9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9.9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9.9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9.9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9.9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9.9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9.9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9.9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9.9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9.9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spans="1:29" ht="19.9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spans="1:29" ht="19.9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spans="1:29" ht="19.9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spans="1:29" ht="19.9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spans="1:29" ht="19.9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spans="1:29" ht="19.9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spans="1:29" ht="19.9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spans="1:29" ht="19.9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spans="1:29" ht="19.9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spans="1:29" ht="19.9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spans="1:29" ht="19.9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spans="1:29" ht="19.9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spans="1:29" ht="19.9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spans="1:29" ht="19.9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spans="1:29" ht="19.9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spans="1:29" ht="19.9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spans="1:29" ht="19.9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spans="1:29" ht="19.9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spans="1:29" ht="19.9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spans="1:29" ht="19.9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spans="1:29" ht="19.9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spans="1:29" ht="19.9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spans="1:29" ht="19.9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spans="1:29" ht="19.9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spans="1:29" ht="19.9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spans="1:29" ht="19.9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spans="1:29" ht="19.9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spans="1:29" ht="19.9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spans="1:29" ht="19.9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spans="1:29" ht="19.9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spans="1:29" ht="19.9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spans="1:29" ht="19.9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spans="1:29" ht="19.9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spans="1:29" ht="19.9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spans="1:29" ht="19.9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spans="1:29" ht="19.9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spans="1:29" ht="19.9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spans="1:29" ht="19.9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spans="1:29" ht="19.9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spans="1:29" ht="19.9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spans="1:29" ht="19.9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spans="1:29" ht="19.9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spans="1:29" ht="19.9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spans="1:29" ht="19.9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spans="1:29" ht="19.9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spans="1:29" ht="19.9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spans="1:29" ht="19.9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spans="1:29" ht="19.9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spans="1:29" ht="19.9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spans="1:29" ht="19.9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spans="1:29" ht="19.9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spans="1:29" ht="19.9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spans="1:29" ht="19.9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spans="1:29" ht="19.9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spans="1:29" ht="19.9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spans="1:29" ht="19.9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spans="1:29" ht="19.9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spans="1:29" ht="19.9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spans="1:29" ht="19.9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spans="1:29" ht="19.9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spans="1:29" ht="19.9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spans="1:29" ht="19.9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spans="1:29" ht="19.9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spans="1:29" ht="19.9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spans="1:29" ht="19.9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spans="1:29" ht="19.9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spans="1:29" ht="19.9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spans="1:29" ht="19.9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spans="1:29" ht="19.9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spans="1:29" ht="19.9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spans="1:29" ht="19.9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spans="1:29" ht="19.9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spans="1:29" ht="19.9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spans="1:29" ht="19.9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spans="1:29" ht="19.9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spans="1:29" ht="19.9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spans="1:29" ht="19.9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spans="1:29" ht="19.9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spans="1:29" ht="19.9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spans="1:29" ht="19.9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spans="1:29" ht="19.9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spans="1:29" ht="19.9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spans="1:29" ht="19.9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spans="1:29" ht="19.9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spans="1:29" ht="19.9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spans="1:29" ht="19.9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spans="1:29" ht="19.9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spans="1:29" ht="19.9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spans="1:29" ht="19.9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spans="1:29" ht="19.9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spans="1:29" ht="19.9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spans="1:29" ht="19.9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spans="1:29" ht="19.9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spans="1:29" ht="19.9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spans="1:29" ht="19.9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spans="1:29" ht="19.9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spans="1:29" ht="19.9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spans="1:29" ht="19.9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spans="1:29" ht="19.9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spans="1:29" ht="19.9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spans="1:29" ht="19.9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spans="1:29" ht="19.9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spans="1:29" ht="19.9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spans="1:29" ht="19.9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spans="1:29" ht="19.9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spans="1:29" ht="19.9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spans="1:29" ht="19.9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spans="1:29" ht="19.9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spans="1:29" ht="19.9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spans="1:29" ht="19.9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spans="1:29" ht="19.9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spans="1:29" ht="19.9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spans="1:29" ht="19.9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spans="1:29" ht="19.9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spans="1:29" ht="19.9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spans="1:29" ht="19.9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spans="1:29" ht="19.9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spans="1:29" ht="19.9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spans="1:29" ht="19.9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spans="1:29" ht="19.9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spans="1:29" ht="19.9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spans="1:29" ht="19.9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spans="1:29" ht="19.9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spans="1:29" ht="19.9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spans="1:29" ht="19.9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spans="1:29" ht="19.9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spans="1:29" ht="19.9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spans="1:29" ht="19.9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spans="1:29" ht="19.9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spans="1:29" ht="19.9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spans="1:29" ht="19.9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spans="1:29" ht="19.9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spans="1:29" ht="19.9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spans="1:29" ht="19.9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spans="1:29" ht="19.9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spans="1:29" ht="19.9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spans="1:29" ht="19.9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spans="1:29" ht="19.9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spans="1:29" ht="19.9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spans="1:29" ht="19.9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spans="1:29" ht="19.9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spans="1:29" ht="19.9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spans="1:29" ht="19.9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spans="1:29" ht="19.9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spans="1:29" ht="19.9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spans="1:29" ht="19.9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spans="1:29" ht="19.9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spans="1:29" ht="19.9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spans="1:29" ht="19.9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spans="1:29" ht="19.9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spans="1:29" ht="19.9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spans="1:29" ht="19.9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spans="1:29" ht="19.9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spans="1:29" ht="19.9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spans="1:29" ht="19.9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spans="1:29" ht="19.9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spans="1:29" ht="19.9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spans="1:29" ht="19.9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spans="1:29" ht="19.9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spans="1:29" ht="19.9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spans="1:29" ht="19.9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spans="1:29" ht="19.9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spans="1:29" ht="19.9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spans="1:29" ht="19.9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spans="1:29" ht="19.9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spans="1:29" ht="19.9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spans="1:29" ht="19.9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spans="1:29" ht="19.9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spans="1:29" ht="19.9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spans="1:29" ht="19.9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spans="1:29" ht="19.9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spans="1:29" ht="19.9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spans="1:29" ht="19.9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spans="1:29" ht="19.9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spans="1:29" ht="19.9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spans="1:29" ht="19.9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spans="1:29" ht="19.9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spans="1:29" ht="19.9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spans="1:29" ht="19.9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spans="1:29" ht="19.9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spans="1:29" ht="19.9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spans="1:29" ht="19.9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spans="1:29" ht="19.9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spans="1:29" ht="19.9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spans="1:29" ht="19.9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spans="1:29" ht="19.9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spans="1:29" ht="19.9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spans="1:29" ht="19.9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spans="1:29" ht="19.9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spans="1:29" ht="19.9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spans="1:29" ht="19.9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spans="1:29" ht="19.9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spans="1:29" ht="19.9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spans="1:29" ht="19.9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spans="1:29" ht="19.9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spans="1:29" ht="19.9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spans="1:29" ht="19.9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spans="1:29" ht="19.9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spans="1:29" ht="19.9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spans="1:29" ht="19.9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spans="1:29" ht="19.9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spans="1:29" ht="19.9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spans="1:29" ht="19.9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spans="1:29" ht="19.9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spans="1:29" ht="19.9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spans="1:29" ht="19.9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spans="1:29" ht="19.9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spans="1:29" ht="19.9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spans="1:29" ht="19.9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spans="1:29" ht="19.9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spans="1:29" ht="19.9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spans="1:29" ht="19.9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spans="1:29" ht="19.9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spans="1:29" ht="19.9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spans="1:29" ht="19.9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spans="1:29" ht="19.9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spans="1:29" ht="19.9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spans="1:29" ht="19.9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spans="1:29" ht="19.9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spans="1:29" ht="19.9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spans="1:29" ht="19.9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spans="1:29" ht="19.9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spans="1:29" ht="19.9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spans="1:29" ht="19.9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spans="1:29" ht="19.9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spans="1:29" ht="19.9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spans="1:29" ht="19.9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spans="1:29" ht="19.9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spans="1:29" ht="19.9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spans="1:29" ht="19.9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spans="1:29" ht="19.9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spans="1:29" ht="19.9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spans="1:29" ht="19.9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spans="1:29" ht="19.9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spans="1:29" ht="19.9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spans="1:29" ht="19.9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spans="1:29" ht="19.9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spans="1:29" ht="19.9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spans="1:29" ht="19.9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spans="1:29" ht="19.9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spans="1:29" ht="19.9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spans="1:29" ht="19.9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spans="1:29" ht="19.9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spans="1:29" ht="19.9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spans="1:29" ht="19.9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spans="1:29" ht="19.9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spans="1:29" ht="19.9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spans="1:29" ht="19.9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spans="1:29" ht="19.9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spans="1:29" ht="19.9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spans="1:29" ht="19.9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spans="1:29" ht="19.9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spans="1:29" ht="19.9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spans="1:29" ht="19.9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spans="1:29" ht="19.9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spans="1:29" ht="19.9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spans="1:29" ht="19.9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spans="1:29" ht="19.9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spans="1:29" ht="19.9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spans="1:29" ht="19.9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spans="1:29" ht="19.9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spans="1:29" ht="19.9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spans="1:29" ht="19.9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spans="1:29" ht="19.9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spans="1:29" ht="19.9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spans="1:29" ht="19.9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spans="1:29" ht="19.9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spans="1:29" ht="19.9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spans="1:29" ht="19.9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spans="1:29" ht="19.9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spans="1:29" ht="19.9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spans="1:29" ht="19.9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spans="1:29" ht="19.9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spans="1:29" ht="19.9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spans="1:29" ht="19.9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spans="1:29" ht="19.9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spans="1:29" ht="19.9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spans="1:29" ht="19.9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ht="19.9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spans="1:29" ht="19.9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spans="1:29" ht="19.9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spans="1:29" ht="19.9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spans="1:29" ht="19.9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spans="1:29" ht="19.9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spans="1:29" ht="19.9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spans="1:29" ht="19.9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spans="1:29" ht="19.9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spans="1:29" ht="19.9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spans="1:29" ht="19.9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spans="1:29" ht="19.9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spans="1:29" ht="19.9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spans="1:29" ht="19.9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spans="1:29" ht="19.9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spans="1:29" ht="19.9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spans="1:29" ht="19.9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spans="1:29" ht="19.9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spans="1:29" ht="19.9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spans="1:29" ht="19.9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spans="1:29" ht="19.9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spans="1:29" ht="19.9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spans="1:29" ht="19.9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spans="1:29" ht="19.9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spans="1:29" ht="19.9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spans="1:29" ht="19.9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spans="1:29" ht="19.9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spans="1:29" ht="19.9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spans="1:29" ht="19.9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spans="1:29" ht="19.9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spans="1:29" ht="19.9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spans="1:29" ht="19.9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spans="1:29" ht="19.9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spans="1:29" ht="19.9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spans="1:29" ht="19.9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spans="1:29" ht="19.9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spans="1:29" ht="19.9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spans="1:29" ht="19.9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spans="1:29" ht="19.9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spans="1:29" ht="19.9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spans="1:29" ht="19.9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spans="1:29" ht="19.9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spans="1:29" ht="19.9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spans="1:29" ht="19.9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spans="1:29" ht="19.9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spans="1:29" ht="19.9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spans="1:29" ht="19.9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spans="1:29" ht="19.9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spans="1:29" ht="19.9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spans="1:29" ht="19.9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spans="1:29" ht="19.9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spans="1:29" ht="19.9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spans="1:29" ht="19.9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spans="1:29" ht="19.9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spans="1:29" ht="19.9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spans="1:29" ht="19.9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spans="1:29" ht="19.9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spans="1:29" ht="19.9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spans="1:29" ht="19.9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spans="1:29" ht="19.9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spans="1:29" ht="19.9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spans="1:29" ht="19.9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spans="1:29" ht="19.9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spans="1:29" ht="19.9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spans="1:29" ht="19.9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spans="1:29" ht="19.9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spans="1:29" ht="19.9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spans="1:29" ht="19.9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spans="1:29" ht="19.9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spans="1:29" ht="19.9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spans="1:29" ht="19.9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spans="1:29" ht="19.9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spans="1:29" ht="19.9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spans="1:29" ht="19.9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spans="1:29" ht="19.9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spans="1:29" ht="19.9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spans="1:29" ht="19.9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spans="1:29" ht="19.9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spans="1:29" ht="19.9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spans="1:29" ht="19.9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spans="1:29" ht="19.9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spans="1:29" ht="19.9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spans="1:29" ht="19.9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spans="1:29" ht="19.9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spans="1:29" ht="19.9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spans="1:29" ht="19.95" customHeight="1" x14ac:dyDescent="0.3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spans="1:29" ht="19.95" customHeight="1" x14ac:dyDescent="0.3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spans="1:29" ht="19.95" customHeight="1" x14ac:dyDescent="0.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spans="1:29" ht="19.95" customHeight="1" x14ac:dyDescent="0.3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spans="1:29" ht="19.95" customHeight="1" x14ac:dyDescent="0.3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spans="1:29" ht="19.95" customHeight="1" x14ac:dyDescent="0.3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spans="1:29" ht="19.95" customHeight="1" x14ac:dyDescent="0.3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spans="1:29" ht="19.95" customHeight="1" x14ac:dyDescent="0.3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spans="1:29" ht="19.95" customHeight="1" x14ac:dyDescent="0.3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spans="1:29" ht="19.95" customHeight="1" x14ac:dyDescent="0.3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spans="1:29" ht="19.95" customHeight="1" x14ac:dyDescent="0.3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 spans="1:29" ht="19.95" customHeight="1" x14ac:dyDescent="0.3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  <row r="1013" spans="1:29" ht="19.95" customHeight="1" x14ac:dyDescent="0.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</row>
    <row r="1014" spans="1:29" ht="19.95" customHeight="1" x14ac:dyDescent="0.3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</row>
    <row r="1015" spans="1:29" ht="19.95" customHeight="1" x14ac:dyDescent="0.3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</row>
    <row r="1016" spans="1:29" ht="19.95" customHeight="1" x14ac:dyDescent="0.3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</row>
    <row r="1017" spans="1:29" ht="19.95" customHeight="1" x14ac:dyDescent="0.3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</row>
    <row r="1018" spans="1:29" ht="19.95" customHeight="1" x14ac:dyDescent="0.3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</row>
    <row r="1019" spans="1:29" ht="19.95" customHeight="1" x14ac:dyDescent="0.3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</row>
    <row r="1020" spans="1:29" ht="19.95" customHeight="1" x14ac:dyDescent="0.3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</row>
    <row r="1021" spans="1:29" ht="19.95" customHeight="1" x14ac:dyDescent="0.3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</row>
    <row r="1022" spans="1:29" ht="19.95" customHeight="1" x14ac:dyDescent="0.3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</row>
    <row r="1023" spans="1:29" ht="19.95" customHeight="1" x14ac:dyDescent="0.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</row>
    <row r="1024" spans="1:29" ht="19.95" customHeight="1" x14ac:dyDescent="0.3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</row>
    <row r="1025" spans="1:29" ht="19.95" customHeight="1" x14ac:dyDescent="0.3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</row>
    <row r="1026" spans="1:29" ht="19.95" customHeight="1" x14ac:dyDescent="0.3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</row>
    <row r="1027" spans="1:29" ht="19.95" customHeight="1" x14ac:dyDescent="0.3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</row>
    <row r="1028" spans="1:29" ht="19.95" customHeight="1" x14ac:dyDescent="0.3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</row>
    <row r="1029" spans="1:29" ht="19.95" customHeight="1" x14ac:dyDescent="0.3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</row>
    <row r="1030" spans="1:29" ht="19.95" customHeight="1" x14ac:dyDescent="0.3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</row>
    <row r="1031" spans="1:29" ht="19.95" customHeight="1" x14ac:dyDescent="0.3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</row>
  </sheetData>
  <mergeCells count="38">
    <mergeCell ref="B9:C9"/>
    <mergeCell ref="B1:E1"/>
    <mergeCell ref="B2:E2"/>
    <mergeCell ref="B3:E3"/>
    <mergeCell ref="B4:E4"/>
    <mergeCell ref="A6:I6"/>
    <mergeCell ref="D105:E105"/>
    <mergeCell ref="B12:C12"/>
    <mergeCell ref="E12:I12"/>
    <mergeCell ref="A13:C13"/>
    <mergeCell ref="L6:N6"/>
    <mergeCell ref="B7:C7"/>
    <mergeCell ref="E7:I7"/>
    <mergeCell ref="L7:N7"/>
    <mergeCell ref="B10:C10"/>
    <mergeCell ref="E10:I10"/>
    <mergeCell ref="L10:N10"/>
    <mergeCell ref="B11:C11"/>
    <mergeCell ref="E11:I11"/>
    <mergeCell ref="B8:C8"/>
    <mergeCell ref="E8:I8"/>
    <mergeCell ref="L8:N8"/>
    <mergeCell ref="D106:E106"/>
    <mergeCell ref="E9:I9"/>
    <mergeCell ref="L9:N9"/>
    <mergeCell ref="E13:I13"/>
    <mergeCell ref="A17:A106"/>
    <mergeCell ref="B17:C17"/>
    <mergeCell ref="B18:C18"/>
    <mergeCell ref="B19:C19"/>
    <mergeCell ref="B20:B32"/>
    <mergeCell ref="B33:B44"/>
    <mergeCell ref="B46:B72"/>
    <mergeCell ref="B73:B82"/>
    <mergeCell ref="B83:B92"/>
    <mergeCell ref="B93:B102"/>
    <mergeCell ref="B103:B104"/>
    <mergeCell ref="B105:C10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34"/>
  <sheetViews>
    <sheetView topLeftCell="A86" zoomScale="70" zoomScaleNormal="70" workbookViewId="0">
      <selection activeCell="L10" sqref="L10:N10"/>
    </sheetView>
  </sheetViews>
  <sheetFormatPr defaultColWidth="14.44140625" defaultRowHeight="19.95" customHeight="1" x14ac:dyDescent="0.3"/>
  <cols>
    <col min="1" max="1" width="19.44140625" customWidth="1"/>
    <col min="2" max="2" width="20" customWidth="1"/>
    <col min="3" max="3" width="54.77734375" customWidth="1"/>
    <col min="4" max="4" width="23.6640625" customWidth="1"/>
    <col min="5" max="5" width="10.44140625" customWidth="1"/>
    <col min="6" max="6" width="7.44140625" customWidth="1"/>
    <col min="7" max="10" width="9" customWidth="1"/>
    <col min="11" max="11" width="9.109375" customWidth="1"/>
    <col min="12" max="12" width="10.77734375" customWidth="1"/>
    <col min="13" max="14" width="8.88671875" customWidth="1"/>
    <col min="15" max="15" width="9.109375" customWidth="1"/>
    <col min="16" max="16" width="10.77734375" customWidth="1"/>
    <col min="17" max="17" width="9.109375" customWidth="1"/>
    <col min="18" max="18" width="9.44140625" customWidth="1"/>
    <col min="19" max="19" width="10" customWidth="1"/>
    <col min="20" max="20" width="9.44140625" customWidth="1"/>
    <col min="21" max="22" width="11.44140625" customWidth="1"/>
  </cols>
  <sheetData>
    <row r="1" spans="1:29" ht="19.95" customHeight="1" x14ac:dyDescent="0.3">
      <c r="A1" s="13" t="s">
        <v>3</v>
      </c>
      <c r="B1" s="87" t="s">
        <v>52</v>
      </c>
      <c r="C1" s="88"/>
      <c r="D1" s="88"/>
      <c r="E1" s="89"/>
      <c r="F1" s="14"/>
      <c r="G1" s="14"/>
      <c r="H1" s="15"/>
      <c r="I1" s="15"/>
      <c r="J1" s="15"/>
      <c r="K1" s="15"/>
      <c r="L1" s="15"/>
      <c r="M1" s="15"/>
      <c r="N1" s="15"/>
      <c r="O1" s="15"/>
      <c r="P1" s="1"/>
      <c r="Q1" s="1"/>
      <c r="R1" s="15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9.95" customHeight="1" x14ac:dyDescent="0.3">
      <c r="A2" s="13" t="s">
        <v>2</v>
      </c>
      <c r="B2" s="87" t="s">
        <v>14</v>
      </c>
      <c r="C2" s="88"/>
      <c r="D2" s="88"/>
      <c r="E2" s="89"/>
      <c r="F2" s="14"/>
      <c r="G2" s="14"/>
      <c r="H2" s="15"/>
      <c r="I2" s="15"/>
      <c r="J2" s="15"/>
      <c r="K2" s="15"/>
      <c r="L2" s="15"/>
      <c r="M2" s="15"/>
      <c r="N2" s="15"/>
      <c r="O2" s="15"/>
      <c r="P2" s="1"/>
      <c r="Q2" s="1"/>
      <c r="R2" s="1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19.95" customHeight="1" x14ac:dyDescent="0.3">
      <c r="A3" s="13" t="s">
        <v>1</v>
      </c>
      <c r="B3" s="90">
        <v>46117</v>
      </c>
      <c r="C3" s="91"/>
      <c r="D3" s="91"/>
      <c r="E3" s="92"/>
      <c r="F3" s="17"/>
      <c r="G3" s="17"/>
      <c r="H3" s="15"/>
      <c r="I3" s="15"/>
      <c r="J3" s="15"/>
      <c r="K3" s="15"/>
      <c r="L3" s="15"/>
      <c r="M3" s="15"/>
      <c r="N3" s="15"/>
      <c r="O3" s="15"/>
      <c r="P3" s="1"/>
      <c r="Q3" s="1"/>
      <c r="R3" s="1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 ht="19.95" customHeight="1" x14ac:dyDescent="0.3">
      <c r="A4" s="13" t="s">
        <v>0</v>
      </c>
      <c r="B4" s="90">
        <v>46135</v>
      </c>
      <c r="C4" s="91"/>
      <c r="D4" s="91"/>
      <c r="E4" s="92"/>
      <c r="F4" s="17"/>
      <c r="G4" s="17"/>
      <c r="H4" s="15"/>
      <c r="I4" s="15"/>
      <c r="J4" s="15"/>
      <c r="K4" s="15"/>
      <c r="L4" s="15"/>
      <c r="M4" s="15"/>
      <c r="N4" s="15"/>
      <c r="O4" s="15"/>
      <c r="P4" s="1"/>
      <c r="Q4" s="1"/>
      <c r="R4" s="1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ht="19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 ht="19.95" customHeight="1" x14ac:dyDescent="0.3">
      <c r="A6" s="93" t="s">
        <v>254</v>
      </c>
      <c r="B6" s="94"/>
      <c r="C6" s="94"/>
      <c r="D6" s="94"/>
      <c r="E6" s="94"/>
      <c r="F6" s="94"/>
      <c r="G6" s="94"/>
      <c r="H6" s="94"/>
      <c r="I6" s="71"/>
      <c r="J6" s="1"/>
      <c r="K6" s="18"/>
      <c r="L6" s="75" t="s">
        <v>25</v>
      </c>
      <c r="M6" s="76"/>
      <c r="N6" s="76"/>
      <c r="O6" s="1"/>
      <c r="P6" s="1"/>
      <c r="Q6" s="1"/>
      <c r="R6" s="1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 ht="19.95" customHeight="1" x14ac:dyDescent="0.3">
      <c r="A7" s="19" t="s">
        <v>26</v>
      </c>
      <c r="B7" s="95" t="s">
        <v>27</v>
      </c>
      <c r="C7" s="84"/>
      <c r="D7" s="20" t="s">
        <v>9</v>
      </c>
      <c r="E7" s="96" t="s">
        <v>18</v>
      </c>
      <c r="F7" s="94"/>
      <c r="G7" s="94"/>
      <c r="H7" s="94"/>
      <c r="I7" s="71"/>
      <c r="J7" s="1"/>
      <c r="K7" s="21"/>
      <c r="L7" s="75" t="s">
        <v>28</v>
      </c>
      <c r="M7" s="76"/>
      <c r="N7" s="76"/>
      <c r="O7" s="1"/>
      <c r="P7" s="1"/>
      <c r="Q7" s="1"/>
      <c r="R7" s="1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 ht="19.95" customHeight="1" x14ac:dyDescent="0.3">
      <c r="A8" s="22">
        <v>1</v>
      </c>
      <c r="B8" s="70" t="s">
        <v>29</v>
      </c>
      <c r="C8" s="71"/>
      <c r="D8" s="23">
        <f xml:space="preserve"> SUMIF(D17:D117, "Hưng",E17:E117) + SUMIF(D17:D117, "All Team", E17:E117)/5 + SUMIF(D17:D117, "Hưng, Khải", E17:E117)/2</f>
        <v>45</v>
      </c>
      <c r="E8" s="72">
        <f xml:space="preserve"> SUMIF(D17:D117, "Hưng",F17:F117) + SUMIF(D17:D117, "All Team", F17:F117)/5+ SUMIF(D17:D117, "Hưng, Khải", F17:F117)/2</f>
        <v>44</v>
      </c>
      <c r="F8" s="73"/>
      <c r="G8" s="73"/>
      <c r="H8" s="73"/>
      <c r="I8" s="74"/>
      <c r="J8" s="1"/>
      <c r="K8" s="24"/>
      <c r="L8" s="75" t="s">
        <v>21</v>
      </c>
      <c r="M8" s="76"/>
      <c r="N8" s="76"/>
      <c r="O8" s="1"/>
      <c r="P8" s="1"/>
      <c r="Q8" s="1"/>
      <c r="R8" s="1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ht="19.95" customHeight="1" x14ac:dyDescent="0.3">
      <c r="A9" s="22">
        <v>2</v>
      </c>
      <c r="B9" s="77" t="s">
        <v>30</v>
      </c>
      <c r="C9" s="78"/>
      <c r="D9" s="23">
        <f xml:space="preserve"> SUMIF(D17:D117, "Khải",E17:E117) + SUMIF(D17:D117, "All Team", E17:E117)/5 + SUMIF(D17:D117, "Hưng, Khải", E17:E117)/2</f>
        <v>52</v>
      </c>
      <c r="E9" s="73">
        <f ca="1" xml:space="preserve"> SUMIF(D17:D117, "Khải",F17:F117) + SUMIF(D17:D117, "All Team", F17:F117)/5 + SUMIF(D17:D117, "Hưng, Khải", F17:F116)/2</f>
        <v>48</v>
      </c>
      <c r="F9" s="79"/>
      <c r="G9" s="79"/>
      <c r="H9" s="79"/>
      <c r="I9" s="80"/>
      <c r="J9" s="1"/>
      <c r="K9" s="15"/>
      <c r="L9" s="81"/>
      <c r="M9" s="82"/>
      <c r="N9" s="82"/>
      <c r="O9" s="1"/>
      <c r="P9" s="1"/>
      <c r="Q9" s="1"/>
      <c r="R9" s="1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ht="19.95" customHeight="1" x14ac:dyDescent="0.3">
      <c r="A10" s="22">
        <v>3</v>
      </c>
      <c r="B10" s="77" t="s">
        <v>31</v>
      </c>
      <c r="C10" s="78"/>
      <c r="D10" s="23">
        <f xml:space="preserve"> SUMIF(D17:D117, "Lĩnh",E17:E117) + SUMIF(D17:D117, "All Team", E17:E117)/5</f>
        <v>31.5</v>
      </c>
      <c r="E10" s="73">
        <f xml:space="preserve"> SUMIF(D17:D117, "Lĩnh",F17:F117) + SUMIF(D17:D117, "All Team", F17:F117)/5</f>
        <v>29.5</v>
      </c>
      <c r="F10" s="79"/>
      <c r="G10" s="79"/>
      <c r="H10" s="79"/>
      <c r="I10" s="80"/>
      <c r="J10" s="1"/>
      <c r="K10" s="15"/>
      <c r="L10" s="81"/>
      <c r="M10" s="82"/>
      <c r="N10" s="82"/>
      <c r="O10" s="1"/>
      <c r="P10" s="1"/>
      <c r="Q10" s="1"/>
      <c r="R10" s="1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9.95" customHeight="1" x14ac:dyDescent="0.3">
      <c r="A11" s="22">
        <v>4</v>
      </c>
      <c r="B11" s="77" t="s">
        <v>53</v>
      </c>
      <c r="C11" s="78"/>
      <c r="D11" s="23">
        <f xml:space="preserve"> SUMIF(D17:D117, "Luyện",E17:E117) + SUMIF(D17:D117, "All Team", E17:E117)/5 + SUMIF(D17:D117, "Thúy, Luyện", E17:E117)/2</f>
        <v>32.5</v>
      </c>
      <c r="E11" s="73">
        <f xml:space="preserve"> SUMIF(D17:D117, "Luyện",F17:F117) + SUMIF(D17:D117, "All Team", F17:F117)/5 + SUMIF(D17:D117, "Thúy, Luyện", F17:F118)/2</f>
        <v>30.5</v>
      </c>
      <c r="F11" s="79"/>
      <c r="G11" s="79"/>
      <c r="H11" s="79"/>
      <c r="I11" s="80"/>
      <c r="J11" s="1"/>
      <c r="K11" s="1"/>
      <c r="L11" s="1"/>
      <c r="M11" s="1"/>
      <c r="N11" s="1"/>
      <c r="O11" s="1"/>
      <c r="P11" s="1"/>
      <c r="Q11" s="1"/>
      <c r="R11" s="1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ht="19.95" customHeight="1" x14ac:dyDescent="0.3">
      <c r="A12" s="25">
        <v>5</v>
      </c>
      <c r="B12" s="83" t="s">
        <v>54</v>
      </c>
      <c r="C12" s="84"/>
      <c r="D12" s="23">
        <f xml:space="preserve"> SUMIF(D17:D117, "Thúy",E17:E117) + SUMIF(D17:D117, "All Team", E17:E117)/5 + SUMIF(D17:D117, "Thúy, Luyện", E17:E117)/2</f>
        <v>31</v>
      </c>
      <c r="E12" s="73">
        <f xml:space="preserve"> SUMIF(D17:D117, "Thúy",F17:F117) + SUMIF(D17:D117, "All Team", F17:F117)/5 + SUMIF(D17:D117, "Thúy, Luyện", F17:F118)/2</f>
        <v>31</v>
      </c>
      <c r="F12" s="79"/>
      <c r="G12" s="79"/>
      <c r="H12" s="79"/>
      <c r="I12" s="80"/>
      <c r="J12" s="1"/>
      <c r="K12" s="1"/>
      <c r="L12" s="1"/>
      <c r="M12" s="1"/>
      <c r="N12" s="1"/>
      <c r="O12" s="1"/>
      <c r="P12" s="1"/>
      <c r="Q12" s="1"/>
      <c r="R12" s="1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 ht="19.95" customHeight="1" x14ac:dyDescent="0.3">
      <c r="A13" s="85" t="s">
        <v>32</v>
      </c>
      <c r="B13" s="86"/>
      <c r="C13" s="78"/>
      <c r="D13" s="26">
        <f>SUM(D8:D12)</f>
        <v>192</v>
      </c>
      <c r="E13" s="97">
        <f ca="1">SUM(E8:I12)</f>
        <v>183</v>
      </c>
      <c r="F13" s="98"/>
      <c r="G13" s="98"/>
      <c r="H13" s="98"/>
      <c r="I13" s="99"/>
      <c r="J13" s="1"/>
      <c r="K13" s="1"/>
      <c r="L13" s="1"/>
      <c r="M13" s="1"/>
      <c r="N13" s="1"/>
      <c r="O13" s="1"/>
      <c r="P13" s="1"/>
      <c r="Q13" s="1"/>
      <c r="R13" s="1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 ht="19.95" customHeight="1" x14ac:dyDescent="0.3">
      <c r="A14" s="1"/>
      <c r="B14" s="1"/>
      <c r="C14" s="1"/>
      <c r="D14" s="2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 ht="19.9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29" ht="60" customHeight="1" x14ac:dyDescent="0.3">
      <c r="A16" s="28" t="s">
        <v>5</v>
      </c>
      <c r="B16" s="28" t="s">
        <v>6</v>
      </c>
      <c r="C16" s="28" t="s">
        <v>7</v>
      </c>
      <c r="D16" s="43" t="s">
        <v>8</v>
      </c>
      <c r="E16" s="29" t="s">
        <v>33</v>
      </c>
      <c r="F16" s="30" t="s">
        <v>34</v>
      </c>
      <c r="G16" s="31">
        <v>46117</v>
      </c>
      <c r="H16" s="31">
        <v>46118</v>
      </c>
      <c r="I16" s="31">
        <v>46119</v>
      </c>
      <c r="J16" s="31">
        <v>46120</v>
      </c>
      <c r="K16" s="31">
        <v>46121</v>
      </c>
      <c r="L16" s="31">
        <v>46122</v>
      </c>
      <c r="M16" s="31">
        <v>46123</v>
      </c>
      <c r="N16" s="31">
        <v>46124</v>
      </c>
      <c r="O16" s="31">
        <v>46125</v>
      </c>
      <c r="P16" s="31">
        <v>46126</v>
      </c>
      <c r="Q16" s="31">
        <v>46127</v>
      </c>
      <c r="R16" s="31">
        <v>46128</v>
      </c>
      <c r="S16" s="31">
        <v>46129</v>
      </c>
      <c r="T16" s="31">
        <v>46130</v>
      </c>
      <c r="U16" s="31">
        <v>46131</v>
      </c>
      <c r="V16" s="31">
        <v>46132</v>
      </c>
      <c r="W16" s="31">
        <v>46133</v>
      </c>
      <c r="X16" s="31">
        <v>46134</v>
      </c>
      <c r="Y16" s="31">
        <v>46135</v>
      </c>
      <c r="Z16" s="16"/>
      <c r="AA16" s="16"/>
    </row>
    <row r="17" spans="1:25" ht="19.95" customHeight="1" x14ac:dyDescent="0.3">
      <c r="A17" s="58" t="s">
        <v>35</v>
      </c>
      <c r="B17" s="59" t="s">
        <v>36</v>
      </c>
      <c r="C17" s="60"/>
      <c r="D17" s="44" t="s">
        <v>17</v>
      </c>
      <c r="E17" s="45">
        <v>10</v>
      </c>
      <c r="F17" s="45">
        <v>10</v>
      </c>
      <c r="G17" s="18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</row>
    <row r="18" spans="1:25" ht="19.95" customHeight="1" x14ac:dyDescent="0.3">
      <c r="A18" s="58"/>
      <c r="B18" s="59" t="s">
        <v>37</v>
      </c>
      <c r="C18" s="60"/>
      <c r="D18" s="44" t="s">
        <v>22</v>
      </c>
      <c r="E18" s="45">
        <v>4</v>
      </c>
      <c r="F18" s="45">
        <v>4</v>
      </c>
      <c r="G18" s="45">
        <v>4</v>
      </c>
      <c r="H18" s="18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</row>
    <row r="19" spans="1:25" ht="19.95" customHeight="1" x14ac:dyDescent="0.3">
      <c r="A19" s="58"/>
      <c r="B19" s="60" t="s">
        <v>38</v>
      </c>
      <c r="C19" s="61"/>
      <c r="D19" s="44" t="s">
        <v>23</v>
      </c>
      <c r="E19" s="54">
        <v>4</v>
      </c>
      <c r="F19" s="54">
        <v>4</v>
      </c>
      <c r="G19" s="54">
        <v>4</v>
      </c>
      <c r="H19" s="54">
        <v>4</v>
      </c>
      <c r="I19" s="18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</row>
    <row r="20" spans="1:25" ht="19.95" customHeight="1" x14ac:dyDescent="0.3">
      <c r="A20" s="58"/>
      <c r="B20" s="63" t="s">
        <v>39</v>
      </c>
      <c r="C20" s="53" t="s">
        <v>125</v>
      </c>
      <c r="D20" s="44" t="s">
        <v>22</v>
      </c>
      <c r="E20" s="12">
        <v>3</v>
      </c>
      <c r="F20" s="12">
        <v>2</v>
      </c>
      <c r="G20" s="12">
        <v>2</v>
      </c>
      <c r="H20" s="12">
        <v>2</v>
      </c>
      <c r="I20" s="12">
        <v>2</v>
      </c>
      <c r="J20" s="18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</row>
    <row r="21" spans="1:25" ht="19.95" customHeight="1" x14ac:dyDescent="0.3">
      <c r="A21" s="58"/>
      <c r="B21" s="63"/>
      <c r="C21" s="53"/>
      <c r="D21" s="44"/>
      <c r="E21" s="12"/>
      <c r="F21" s="12"/>
      <c r="G21" s="56"/>
      <c r="H21" s="12"/>
      <c r="I21" s="12"/>
      <c r="J21" s="21">
        <v>1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9.95" customHeight="1" x14ac:dyDescent="0.3">
      <c r="A22" s="58"/>
      <c r="B22" s="63"/>
      <c r="C22" s="53" t="s">
        <v>126</v>
      </c>
      <c r="D22" s="44" t="s">
        <v>49</v>
      </c>
      <c r="E22" s="12">
        <v>3</v>
      </c>
      <c r="F22" s="12">
        <v>3</v>
      </c>
      <c r="G22" s="56">
        <v>3</v>
      </c>
      <c r="H22" s="12">
        <v>3</v>
      </c>
      <c r="I22" s="12">
        <v>3</v>
      </c>
      <c r="J22" s="18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</row>
    <row r="23" spans="1:25" ht="19.95" customHeight="1" x14ac:dyDescent="0.3">
      <c r="A23" s="58"/>
      <c r="B23" s="63"/>
      <c r="C23" s="53" t="s">
        <v>127</v>
      </c>
      <c r="D23" s="44" t="s">
        <v>40</v>
      </c>
      <c r="E23" s="12">
        <v>3</v>
      </c>
      <c r="F23" s="12">
        <v>3</v>
      </c>
      <c r="G23" s="56">
        <v>3</v>
      </c>
      <c r="H23" s="12">
        <v>3</v>
      </c>
      <c r="I23" s="12">
        <v>3</v>
      </c>
      <c r="J23" s="18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</row>
    <row r="24" spans="1:25" ht="19.95" customHeight="1" x14ac:dyDescent="0.3">
      <c r="A24" s="58"/>
      <c r="B24" s="63"/>
      <c r="C24" s="41" t="s">
        <v>128</v>
      </c>
      <c r="D24" s="44" t="s">
        <v>40</v>
      </c>
      <c r="E24" s="12">
        <v>3</v>
      </c>
      <c r="F24" s="12">
        <v>2</v>
      </c>
      <c r="G24" s="56">
        <v>2</v>
      </c>
      <c r="H24" s="12">
        <v>2</v>
      </c>
      <c r="I24" s="12">
        <v>2</v>
      </c>
      <c r="J24" s="18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</row>
    <row r="25" spans="1:25" ht="19.95" customHeight="1" x14ac:dyDescent="0.3">
      <c r="A25" s="58"/>
      <c r="B25" s="63"/>
      <c r="C25" s="41"/>
      <c r="D25" s="44"/>
      <c r="E25" s="12"/>
      <c r="F25" s="12"/>
      <c r="G25" s="56"/>
      <c r="H25" s="12"/>
      <c r="I25" s="12"/>
      <c r="J25" s="21">
        <v>1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9.95" customHeight="1" x14ac:dyDescent="0.3">
      <c r="A26" s="58"/>
      <c r="B26" s="63"/>
      <c r="C26" s="53" t="s">
        <v>129</v>
      </c>
      <c r="D26" s="44" t="s">
        <v>43</v>
      </c>
      <c r="E26" s="12">
        <v>2</v>
      </c>
      <c r="F26" s="12">
        <v>2</v>
      </c>
      <c r="G26" s="56">
        <v>2</v>
      </c>
      <c r="H26" s="12">
        <v>2</v>
      </c>
      <c r="I26" s="12">
        <v>2</v>
      </c>
      <c r="J26" s="18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</row>
    <row r="27" spans="1:25" ht="19.95" customHeight="1" x14ac:dyDescent="0.3">
      <c r="A27" s="58"/>
      <c r="B27" s="63"/>
      <c r="C27" s="53" t="s">
        <v>130</v>
      </c>
      <c r="D27" s="44" t="s">
        <v>43</v>
      </c>
      <c r="E27" s="12">
        <v>1</v>
      </c>
      <c r="F27" s="12">
        <v>1</v>
      </c>
      <c r="G27" s="56">
        <v>1</v>
      </c>
      <c r="H27" s="12">
        <v>1</v>
      </c>
      <c r="I27" s="12">
        <v>1</v>
      </c>
      <c r="J27" s="12">
        <v>1</v>
      </c>
      <c r="K27" s="18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</row>
    <row r="28" spans="1:25" ht="19.95" customHeight="1" x14ac:dyDescent="0.3">
      <c r="A28" s="58"/>
      <c r="B28" s="63"/>
      <c r="C28" s="41" t="s">
        <v>131</v>
      </c>
      <c r="D28" s="44" t="s">
        <v>49</v>
      </c>
      <c r="E28" s="12">
        <v>2</v>
      </c>
      <c r="F28" s="12">
        <v>2</v>
      </c>
      <c r="G28" s="56">
        <v>2</v>
      </c>
      <c r="H28" s="12">
        <v>2</v>
      </c>
      <c r="I28" s="12">
        <v>2</v>
      </c>
      <c r="J28" s="12">
        <v>2</v>
      </c>
      <c r="K28" s="18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</row>
    <row r="29" spans="1:25" ht="19.95" customHeight="1" x14ac:dyDescent="0.3">
      <c r="A29" s="58"/>
      <c r="B29" s="63"/>
      <c r="C29" s="41" t="s">
        <v>132</v>
      </c>
      <c r="D29" s="44" t="s">
        <v>22</v>
      </c>
      <c r="E29" s="12">
        <v>2</v>
      </c>
      <c r="F29" s="12">
        <v>2</v>
      </c>
      <c r="G29" s="56">
        <v>2</v>
      </c>
      <c r="H29" s="12">
        <v>2</v>
      </c>
      <c r="I29" s="12">
        <v>2</v>
      </c>
      <c r="J29" s="12">
        <v>2</v>
      </c>
      <c r="K29" s="18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</row>
    <row r="30" spans="1:25" ht="19.95" customHeight="1" x14ac:dyDescent="0.3">
      <c r="A30" s="58"/>
      <c r="B30" s="63"/>
      <c r="C30" s="41" t="s">
        <v>133</v>
      </c>
      <c r="D30" s="44" t="s">
        <v>22</v>
      </c>
      <c r="E30" s="12">
        <v>1</v>
      </c>
      <c r="F30" s="12">
        <v>1</v>
      </c>
      <c r="G30" s="56">
        <v>1</v>
      </c>
      <c r="H30" s="12">
        <v>1</v>
      </c>
      <c r="I30" s="12">
        <v>1</v>
      </c>
      <c r="J30" s="12">
        <v>1</v>
      </c>
      <c r="K30" s="18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</row>
    <row r="31" spans="1:25" ht="19.95" customHeight="1" x14ac:dyDescent="0.3">
      <c r="A31" s="58"/>
      <c r="B31" s="63"/>
      <c r="C31" s="41" t="s">
        <v>134</v>
      </c>
      <c r="D31" s="44" t="s">
        <v>50</v>
      </c>
      <c r="E31" s="12">
        <v>2</v>
      </c>
      <c r="F31" s="12">
        <v>2</v>
      </c>
      <c r="G31" s="56">
        <v>2</v>
      </c>
      <c r="H31" s="12">
        <v>2</v>
      </c>
      <c r="I31" s="12">
        <v>2</v>
      </c>
      <c r="J31" s="12">
        <v>2</v>
      </c>
      <c r="K31" s="18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</row>
    <row r="32" spans="1:25" ht="19.95" customHeight="1" x14ac:dyDescent="0.3">
      <c r="A32" s="58"/>
      <c r="B32" s="63"/>
      <c r="C32" s="33" t="s">
        <v>135</v>
      </c>
      <c r="D32" s="44" t="s">
        <v>17</v>
      </c>
      <c r="E32" s="44">
        <v>10</v>
      </c>
      <c r="F32" s="44">
        <v>10</v>
      </c>
      <c r="G32" s="50">
        <v>10</v>
      </c>
      <c r="H32" s="44">
        <v>10</v>
      </c>
      <c r="I32" s="44">
        <v>10</v>
      </c>
      <c r="J32" s="44">
        <v>10</v>
      </c>
      <c r="K32" s="18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</row>
    <row r="33" spans="1:25" ht="19.95" customHeight="1" x14ac:dyDescent="0.3">
      <c r="A33" s="58"/>
      <c r="B33" s="62" t="s">
        <v>42</v>
      </c>
      <c r="C33" s="41" t="s">
        <v>136</v>
      </c>
      <c r="D33" s="44" t="s">
        <v>49</v>
      </c>
      <c r="E33" s="12">
        <v>2</v>
      </c>
      <c r="F33" s="12">
        <v>2</v>
      </c>
      <c r="G33" s="56">
        <v>2</v>
      </c>
      <c r="H33" s="12">
        <v>2</v>
      </c>
      <c r="I33" s="12">
        <v>2</v>
      </c>
      <c r="J33" s="12">
        <v>2</v>
      </c>
      <c r="K33" s="12">
        <v>2</v>
      </c>
      <c r="L33" s="18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</row>
    <row r="34" spans="1:25" ht="19.95" customHeight="1" x14ac:dyDescent="0.3">
      <c r="A34" s="58"/>
      <c r="B34" s="63"/>
      <c r="C34" s="41" t="s">
        <v>137</v>
      </c>
      <c r="D34" s="44" t="s">
        <v>50</v>
      </c>
      <c r="E34" s="12">
        <v>2</v>
      </c>
      <c r="F34" s="12">
        <v>2</v>
      </c>
      <c r="G34" s="56">
        <v>2</v>
      </c>
      <c r="H34" s="12">
        <v>2</v>
      </c>
      <c r="I34" s="12">
        <v>2</v>
      </c>
      <c r="J34" s="12">
        <v>2</v>
      </c>
      <c r="K34" s="12">
        <v>2</v>
      </c>
      <c r="L34" s="18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</row>
    <row r="35" spans="1:25" ht="19.95" customHeight="1" x14ac:dyDescent="0.3">
      <c r="A35" s="58"/>
      <c r="B35" s="63"/>
      <c r="C35" s="41" t="s">
        <v>138</v>
      </c>
      <c r="D35" s="44" t="s">
        <v>22</v>
      </c>
      <c r="E35" s="12">
        <v>4</v>
      </c>
      <c r="F35" s="12">
        <v>3</v>
      </c>
      <c r="G35" s="56">
        <v>3</v>
      </c>
      <c r="H35" s="12">
        <v>3</v>
      </c>
      <c r="I35" s="12">
        <v>3</v>
      </c>
      <c r="J35" s="12">
        <v>3</v>
      </c>
      <c r="K35" s="12">
        <v>3</v>
      </c>
      <c r="L35" s="18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</row>
    <row r="36" spans="1:25" ht="19.95" customHeight="1" x14ac:dyDescent="0.3">
      <c r="A36" s="58"/>
      <c r="B36" s="63"/>
      <c r="C36" s="41"/>
      <c r="D36" s="44"/>
      <c r="E36" s="12"/>
      <c r="F36" s="12"/>
      <c r="G36" s="56"/>
      <c r="H36" s="12"/>
      <c r="I36" s="12"/>
      <c r="J36" s="12"/>
      <c r="K36" s="12"/>
      <c r="L36" s="21">
        <v>1</v>
      </c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9.95" customHeight="1" x14ac:dyDescent="0.3">
      <c r="A37" s="58"/>
      <c r="B37" s="63"/>
      <c r="C37" s="41" t="s">
        <v>139</v>
      </c>
      <c r="D37" s="44" t="s">
        <v>22</v>
      </c>
      <c r="E37" s="12">
        <v>2</v>
      </c>
      <c r="F37" s="12">
        <v>2</v>
      </c>
      <c r="G37" s="56">
        <v>2</v>
      </c>
      <c r="H37" s="12">
        <v>2</v>
      </c>
      <c r="I37" s="12">
        <v>2</v>
      </c>
      <c r="J37" s="12">
        <v>2</v>
      </c>
      <c r="K37" s="12">
        <v>2</v>
      </c>
      <c r="L37" s="18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</row>
    <row r="38" spans="1:25" ht="19.95" customHeight="1" x14ac:dyDescent="0.3">
      <c r="A38" s="58"/>
      <c r="B38" s="63"/>
      <c r="C38" s="41" t="s">
        <v>140</v>
      </c>
      <c r="D38" s="44" t="s">
        <v>49</v>
      </c>
      <c r="E38" s="12">
        <v>4</v>
      </c>
      <c r="F38" s="12">
        <v>2</v>
      </c>
      <c r="G38" s="56">
        <v>2</v>
      </c>
      <c r="H38" s="12">
        <v>2</v>
      </c>
      <c r="I38" s="12">
        <v>2</v>
      </c>
      <c r="J38" s="12">
        <v>2</v>
      </c>
      <c r="K38" s="12">
        <v>2</v>
      </c>
      <c r="L38" s="18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</row>
    <row r="39" spans="1:25" ht="19.95" customHeight="1" x14ac:dyDescent="0.3">
      <c r="A39" s="58"/>
      <c r="B39" s="63"/>
      <c r="C39" s="41"/>
      <c r="D39" s="44"/>
      <c r="E39" s="12"/>
      <c r="F39" s="12"/>
      <c r="G39" s="56"/>
      <c r="H39" s="12"/>
      <c r="I39" s="12"/>
      <c r="J39" s="12"/>
      <c r="K39" s="12"/>
      <c r="L39" s="21">
        <v>2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5" ht="19.95" customHeight="1" x14ac:dyDescent="0.3">
      <c r="A40" s="58"/>
      <c r="B40" s="63"/>
      <c r="C40" s="41" t="s">
        <v>141</v>
      </c>
      <c r="D40" s="44" t="s">
        <v>22</v>
      </c>
      <c r="E40" s="12">
        <v>2</v>
      </c>
      <c r="F40" s="12">
        <v>2</v>
      </c>
      <c r="G40" s="56">
        <v>2</v>
      </c>
      <c r="H40" s="12">
        <v>2</v>
      </c>
      <c r="I40" s="12">
        <v>2</v>
      </c>
      <c r="J40" s="12">
        <v>2</v>
      </c>
      <c r="K40" s="12">
        <v>2</v>
      </c>
      <c r="L40" s="12">
        <v>2</v>
      </c>
      <c r="M40" s="18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</row>
    <row r="41" spans="1:25" ht="19.95" customHeight="1" x14ac:dyDescent="0.3">
      <c r="A41" s="58"/>
      <c r="B41" s="63"/>
      <c r="C41" s="41" t="s">
        <v>142</v>
      </c>
      <c r="D41" s="44" t="s">
        <v>50</v>
      </c>
      <c r="E41" s="12">
        <v>2</v>
      </c>
      <c r="F41" s="12">
        <v>2</v>
      </c>
      <c r="G41" s="56">
        <v>2</v>
      </c>
      <c r="H41" s="12">
        <v>2</v>
      </c>
      <c r="I41" s="12">
        <v>2</v>
      </c>
      <c r="J41" s="12">
        <v>2</v>
      </c>
      <c r="K41" s="12">
        <v>2</v>
      </c>
      <c r="L41" s="12">
        <v>2</v>
      </c>
      <c r="M41" s="18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</row>
    <row r="42" spans="1:25" ht="19.95" customHeight="1" x14ac:dyDescent="0.3">
      <c r="A42" s="58"/>
      <c r="B42" s="63"/>
      <c r="C42" s="41" t="s">
        <v>143</v>
      </c>
      <c r="D42" s="44" t="s">
        <v>49</v>
      </c>
      <c r="E42" s="12">
        <v>2</v>
      </c>
      <c r="F42" s="12">
        <v>2</v>
      </c>
      <c r="G42" s="56">
        <v>2</v>
      </c>
      <c r="H42" s="12">
        <v>2</v>
      </c>
      <c r="I42" s="12">
        <v>2</v>
      </c>
      <c r="J42" s="12">
        <v>2</v>
      </c>
      <c r="K42" s="12">
        <v>2</v>
      </c>
      <c r="L42" s="12">
        <v>2</v>
      </c>
      <c r="M42" s="18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</row>
    <row r="43" spans="1:25" ht="19.95" customHeight="1" x14ac:dyDescent="0.3">
      <c r="A43" s="58"/>
      <c r="B43" s="63"/>
      <c r="C43" s="41" t="s">
        <v>144</v>
      </c>
      <c r="D43" s="44" t="s">
        <v>50</v>
      </c>
      <c r="E43" s="12">
        <v>1</v>
      </c>
      <c r="F43" s="12">
        <v>1</v>
      </c>
      <c r="G43" s="56">
        <v>1</v>
      </c>
      <c r="H43" s="12">
        <v>1</v>
      </c>
      <c r="I43" s="12">
        <v>1</v>
      </c>
      <c r="J43" s="12">
        <v>1</v>
      </c>
      <c r="K43" s="12">
        <v>1</v>
      </c>
      <c r="L43" s="12">
        <v>1</v>
      </c>
      <c r="M43" s="18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</row>
    <row r="44" spans="1:25" ht="19.95" customHeight="1" x14ac:dyDescent="0.3">
      <c r="A44" s="58"/>
      <c r="B44" s="63"/>
      <c r="C44" s="41" t="s">
        <v>145</v>
      </c>
      <c r="D44" s="44" t="s">
        <v>22</v>
      </c>
      <c r="E44" s="12">
        <v>2</v>
      </c>
      <c r="F44" s="12">
        <v>2</v>
      </c>
      <c r="G44" s="56">
        <v>2</v>
      </c>
      <c r="H44" s="12">
        <v>2</v>
      </c>
      <c r="I44" s="12">
        <v>2</v>
      </c>
      <c r="J44" s="12">
        <v>2</v>
      </c>
      <c r="K44" s="12">
        <v>2</v>
      </c>
      <c r="L44" s="12">
        <v>2</v>
      </c>
      <c r="M44" s="18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</row>
    <row r="45" spans="1:25" ht="19.95" customHeight="1" x14ac:dyDescent="0.3">
      <c r="A45" s="58"/>
      <c r="B45" s="63"/>
      <c r="C45" s="33" t="s">
        <v>146</v>
      </c>
      <c r="D45" s="44" t="s">
        <v>17</v>
      </c>
      <c r="E45" s="57">
        <v>10</v>
      </c>
      <c r="F45" s="57">
        <v>10</v>
      </c>
      <c r="G45" s="50">
        <v>10</v>
      </c>
      <c r="H45" s="44">
        <v>10</v>
      </c>
      <c r="I45" s="44">
        <v>10</v>
      </c>
      <c r="J45" s="44">
        <v>10</v>
      </c>
      <c r="K45" s="44">
        <v>10</v>
      </c>
      <c r="L45" s="44">
        <v>10</v>
      </c>
      <c r="M45" s="18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</row>
    <row r="46" spans="1:25" ht="19.95" customHeight="1" x14ac:dyDescent="0.3">
      <c r="A46" s="58"/>
      <c r="B46" s="64" t="s">
        <v>11</v>
      </c>
      <c r="C46" s="41" t="s">
        <v>147</v>
      </c>
      <c r="D46" s="44" t="s">
        <v>40</v>
      </c>
      <c r="E46" s="12">
        <v>3</v>
      </c>
      <c r="F46" s="12">
        <v>2</v>
      </c>
      <c r="G46" s="12">
        <v>2</v>
      </c>
      <c r="H46" s="12">
        <v>2</v>
      </c>
      <c r="I46" s="12">
        <v>2</v>
      </c>
      <c r="J46" s="12">
        <v>2</v>
      </c>
      <c r="K46" s="12">
        <v>2</v>
      </c>
      <c r="L46" s="12">
        <v>2</v>
      </c>
      <c r="M46" s="12">
        <v>2</v>
      </c>
      <c r="N46" s="18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</row>
    <row r="47" spans="1:25" ht="19.95" customHeight="1" x14ac:dyDescent="0.3">
      <c r="A47" s="58"/>
      <c r="B47" s="64"/>
      <c r="C47" s="41"/>
      <c r="D47" s="44"/>
      <c r="E47" s="12"/>
      <c r="F47" s="12"/>
      <c r="G47" s="12"/>
      <c r="H47" s="12"/>
      <c r="I47" s="12"/>
      <c r="J47" s="12"/>
      <c r="K47" s="12"/>
      <c r="L47" s="12"/>
      <c r="M47" s="12"/>
      <c r="N47" s="21">
        <v>1</v>
      </c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spans="1:25" ht="19.95" customHeight="1" x14ac:dyDescent="0.3">
      <c r="A48" s="58"/>
      <c r="B48" s="64"/>
      <c r="C48" s="41" t="s">
        <v>148</v>
      </c>
      <c r="D48" s="44" t="s">
        <v>43</v>
      </c>
      <c r="E48" s="12">
        <v>2</v>
      </c>
      <c r="F48" s="12">
        <v>4</v>
      </c>
      <c r="G48" s="12">
        <v>4</v>
      </c>
      <c r="H48" s="12">
        <v>4</v>
      </c>
      <c r="I48" s="12">
        <v>4</v>
      </c>
      <c r="J48" s="12">
        <v>4</v>
      </c>
      <c r="K48" s="12">
        <v>4</v>
      </c>
      <c r="L48" s="12">
        <v>4</v>
      </c>
      <c r="M48" s="12">
        <v>4</v>
      </c>
      <c r="N48" s="18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</row>
    <row r="49" spans="1:25" ht="19.95" customHeight="1" x14ac:dyDescent="0.3">
      <c r="A49" s="58"/>
      <c r="B49" s="64"/>
      <c r="C49" s="41"/>
      <c r="D49" s="44"/>
      <c r="E49" s="12"/>
      <c r="F49" s="12"/>
      <c r="G49" s="12"/>
      <c r="H49" s="12"/>
      <c r="I49" s="12"/>
      <c r="J49" s="12"/>
      <c r="K49" s="12"/>
      <c r="L49" s="12"/>
      <c r="M49" s="12"/>
      <c r="N49" s="24">
        <v>2</v>
      </c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spans="1:25" ht="19.95" customHeight="1" x14ac:dyDescent="0.3">
      <c r="A50" s="58"/>
      <c r="B50" s="64"/>
      <c r="C50" s="41" t="s">
        <v>149</v>
      </c>
      <c r="D50" s="44" t="s">
        <v>40</v>
      </c>
      <c r="E50" s="12">
        <v>4</v>
      </c>
      <c r="F50" s="12">
        <v>4</v>
      </c>
      <c r="G50" s="12">
        <v>4</v>
      </c>
      <c r="H50" s="12">
        <v>4</v>
      </c>
      <c r="I50" s="12">
        <v>4</v>
      </c>
      <c r="J50" s="12">
        <v>4</v>
      </c>
      <c r="K50" s="12">
        <v>4</v>
      </c>
      <c r="L50" s="12">
        <v>4</v>
      </c>
      <c r="M50" s="12">
        <v>4</v>
      </c>
      <c r="N50" s="18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</row>
    <row r="51" spans="1:25" ht="19.95" customHeight="1" x14ac:dyDescent="0.3">
      <c r="A51" s="58"/>
      <c r="B51" s="64"/>
      <c r="C51" s="41" t="s">
        <v>150</v>
      </c>
      <c r="D51" s="44" t="s">
        <v>43</v>
      </c>
      <c r="E51" s="12">
        <v>3</v>
      </c>
      <c r="F51" s="12">
        <v>3</v>
      </c>
      <c r="G51" s="12">
        <v>3</v>
      </c>
      <c r="H51" s="12">
        <v>3</v>
      </c>
      <c r="I51" s="12">
        <v>3</v>
      </c>
      <c r="J51" s="12">
        <v>3</v>
      </c>
      <c r="K51" s="12">
        <v>3</v>
      </c>
      <c r="L51" s="12">
        <v>3</v>
      </c>
      <c r="M51" s="12">
        <v>3</v>
      </c>
      <c r="N51" s="12">
        <v>3</v>
      </c>
      <c r="O51" s="18">
        <v>0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</row>
    <row r="52" spans="1:25" ht="19.95" customHeight="1" x14ac:dyDescent="0.3">
      <c r="A52" s="58"/>
      <c r="B52" s="64"/>
      <c r="C52" s="41" t="s">
        <v>151</v>
      </c>
      <c r="D52" s="44" t="s">
        <v>40</v>
      </c>
      <c r="E52" s="12">
        <v>1</v>
      </c>
      <c r="F52" s="12">
        <v>2</v>
      </c>
      <c r="G52" s="12">
        <v>2</v>
      </c>
      <c r="H52" s="12">
        <v>2</v>
      </c>
      <c r="I52" s="12">
        <v>2</v>
      </c>
      <c r="J52" s="12">
        <v>2</v>
      </c>
      <c r="K52" s="12">
        <v>2</v>
      </c>
      <c r="L52" s="12">
        <v>2</v>
      </c>
      <c r="M52" s="12">
        <v>2</v>
      </c>
      <c r="N52" s="12">
        <v>2</v>
      </c>
      <c r="O52" s="18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</row>
    <row r="53" spans="1:25" ht="19.95" customHeight="1" x14ac:dyDescent="0.3">
      <c r="A53" s="58"/>
      <c r="B53" s="64"/>
      <c r="C53" s="41"/>
      <c r="D53" s="44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24">
        <v>1</v>
      </c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5" ht="19.95" customHeight="1" x14ac:dyDescent="0.3">
      <c r="A54" s="58"/>
      <c r="B54" s="64"/>
      <c r="C54" s="41" t="s">
        <v>152</v>
      </c>
      <c r="D54" s="44" t="s">
        <v>43</v>
      </c>
      <c r="E54" s="12">
        <v>1</v>
      </c>
      <c r="F54" s="12">
        <v>1</v>
      </c>
      <c r="G54" s="12">
        <v>1</v>
      </c>
      <c r="H54" s="12">
        <v>1</v>
      </c>
      <c r="I54" s="12">
        <v>1</v>
      </c>
      <c r="J54" s="12">
        <v>1</v>
      </c>
      <c r="K54" s="12">
        <v>1</v>
      </c>
      <c r="L54" s="12">
        <v>1</v>
      </c>
      <c r="M54" s="12">
        <v>1</v>
      </c>
      <c r="N54" s="12">
        <v>1</v>
      </c>
      <c r="O54" s="12">
        <v>1</v>
      </c>
      <c r="P54" s="18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0</v>
      </c>
      <c r="Y54" s="39">
        <v>0</v>
      </c>
    </row>
    <row r="55" spans="1:25" ht="19.95" customHeight="1" x14ac:dyDescent="0.3">
      <c r="A55" s="58"/>
      <c r="B55" s="64"/>
      <c r="C55" s="41" t="s">
        <v>153</v>
      </c>
      <c r="D55" s="44" t="s">
        <v>40</v>
      </c>
      <c r="E55" s="12">
        <v>3</v>
      </c>
      <c r="F55" s="12">
        <v>3</v>
      </c>
      <c r="G55" s="12">
        <v>3</v>
      </c>
      <c r="H55" s="12">
        <v>3</v>
      </c>
      <c r="I55" s="12">
        <v>3</v>
      </c>
      <c r="J55" s="12">
        <v>3</v>
      </c>
      <c r="K55" s="12">
        <v>3</v>
      </c>
      <c r="L55" s="12">
        <v>3</v>
      </c>
      <c r="M55" s="12">
        <v>3</v>
      </c>
      <c r="N55" s="12">
        <v>3</v>
      </c>
      <c r="O55" s="12">
        <v>3</v>
      </c>
      <c r="P55" s="18">
        <v>0</v>
      </c>
      <c r="Q55" s="39">
        <v>0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</row>
    <row r="56" spans="1:25" ht="19.95" customHeight="1" x14ac:dyDescent="0.3">
      <c r="A56" s="58"/>
      <c r="B56" s="64"/>
      <c r="C56" s="41" t="s">
        <v>154</v>
      </c>
      <c r="D56" s="44" t="s">
        <v>43</v>
      </c>
      <c r="E56" s="12">
        <v>3</v>
      </c>
      <c r="F56" s="12">
        <v>3</v>
      </c>
      <c r="G56" s="12">
        <v>3</v>
      </c>
      <c r="H56" s="12">
        <v>3</v>
      </c>
      <c r="I56" s="12">
        <v>3</v>
      </c>
      <c r="J56" s="12">
        <v>3</v>
      </c>
      <c r="K56" s="12">
        <v>3</v>
      </c>
      <c r="L56" s="12">
        <v>3</v>
      </c>
      <c r="M56" s="12">
        <v>3</v>
      </c>
      <c r="N56" s="12">
        <v>3</v>
      </c>
      <c r="O56" s="12">
        <v>3</v>
      </c>
      <c r="P56" s="18">
        <v>0</v>
      </c>
      <c r="Q56" s="39">
        <v>0</v>
      </c>
      <c r="R56" s="39">
        <v>0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</row>
    <row r="57" spans="1:25" ht="19.95" customHeight="1" x14ac:dyDescent="0.3">
      <c r="A57" s="58"/>
      <c r="B57" s="64"/>
      <c r="C57" s="41" t="s">
        <v>155</v>
      </c>
      <c r="D57" s="44" t="s">
        <v>40</v>
      </c>
      <c r="E57" s="12">
        <v>2</v>
      </c>
      <c r="F57" s="12">
        <v>2</v>
      </c>
      <c r="G57" s="12">
        <v>2</v>
      </c>
      <c r="H57" s="12">
        <v>2</v>
      </c>
      <c r="I57" s="12">
        <v>2</v>
      </c>
      <c r="J57" s="12">
        <v>2</v>
      </c>
      <c r="K57" s="12">
        <v>2</v>
      </c>
      <c r="L57" s="12">
        <v>2</v>
      </c>
      <c r="M57" s="12">
        <v>2</v>
      </c>
      <c r="N57" s="12">
        <v>2</v>
      </c>
      <c r="O57" s="12">
        <v>2</v>
      </c>
      <c r="P57" s="12">
        <v>2</v>
      </c>
      <c r="Q57" s="18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</row>
    <row r="58" spans="1:25" ht="19.95" customHeight="1" x14ac:dyDescent="0.3">
      <c r="A58" s="58"/>
      <c r="B58" s="64"/>
      <c r="C58" s="41" t="s">
        <v>156</v>
      </c>
      <c r="D58" s="44" t="s">
        <v>43</v>
      </c>
      <c r="E58" s="12">
        <v>2</v>
      </c>
      <c r="F58" s="12">
        <v>3</v>
      </c>
      <c r="G58" s="12">
        <v>3</v>
      </c>
      <c r="H58" s="12">
        <v>3</v>
      </c>
      <c r="I58" s="12">
        <v>3</v>
      </c>
      <c r="J58" s="12">
        <v>3</v>
      </c>
      <c r="K58" s="12">
        <v>3</v>
      </c>
      <c r="L58" s="12">
        <v>3</v>
      </c>
      <c r="M58" s="12">
        <v>3</v>
      </c>
      <c r="N58" s="12">
        <v>3</v>
      </c>
      <c r="O58" s="12">
        <v>3</v>
      </c>
      <c r="P58" s="12">
        <v>3</v>
      </c>
      <c r="Q58" s="18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</row>
    <row r="59" spans="1:25" ht="19.95" customHeight="1" x14ac:dyDescent="0.3">
      <c r="A59" s="58"/>
      <c r="B59" s="64"/>
      <c r="C59" s="41"/>
      <c r="D59" s="44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24">
        <v>1</v>
      </c>
      <c r="R59" s="39"/>
      <c r="S59" s="39"/>
      <c r="T59" s="39"/>
      <c r="U59" s="39"/>
      <c r="V59" s="39"/>
      <c r="W59" s="39"/>
      <c r="X59" s="39"/>
      <c r="Y59" s="39"/>
    </row>
    <row r="60" spans="1:25" ht="19.95" customHeight="1" x14ac:dyDescent="0.3">
      <c r="A60" s="58"/>
      <c r="B60" s="64"/>
      <c r="C60" s="41" t="s">
        <v>157</v>
      </c>
      <c r="D60" s="44" t="s">
        <v>40</v>
      </c>
      <c r="E60" s="12">
        <v>2</v>
      </c>
      <c r="F60" s="12">
        <v>2</v>
      </c>
      <c r="G60" s="12">
        <v>2</v>
      </c>
      <c r="H60" s="12">
        <v>2</v>
      </c>
      <c r="I60" s="12">
        <v>2</v>
      </c>
      <c r="J60" s="12">
        <v>2</v>
      </c>
      <c r="K60" s="12">
        <v>2</v>
      </c>
      <c r="L60" s="12">
        <v>2</v>
      </c>
      <c r="M60" s="12">
        <v>2</v>
      </c>
      <c r="N60" s="12">
        <v>2</v>
      </c>
      <c r="O60" s="18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</row>
    <row r="61" spans="1:25" ht="19.95" customHeight="1" x14ac:dyDescent="0.3">
      <c r="A61" s="58"/>
      <c r="B61" s="64"/>
      <c r="C61" s="41" t="s">
        <v>158</v>
      </c>
      <c r="D61" s="44" t="s">
        <v>43</v>
      </c>
      <c r="E61" s="12">
        <v>9</v>
      </c>
      <c r="F61" s="12">
        <v>4</v>
      </c>
      <c r="G61" s="12">
        <v>4</v>
      </c>
      <c r="H61" s="12">
        <v>4</v>
      </c>
      <c r="I61" s="12">
        <v>4</v>
      </c>
      <c r="J61" s="12">
        <v>4</v>
      </c>
      <c r="K61" s="12">
        <v>4</v>
      </c>
      <c r="L61" s="12">
        <v>4</v>
      </c>
      <c r="M61" s="12">
        <v>4</v>
      </c>
      <c r="N61" s="12">
        <v>4</v>
      </c>
      <c r="O61" s="18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</row>
    <row r="62" spans="1:25" ht="19.95" customHeight="1" x14ac:dyDescent="0.3">
      <c r="A62" s="58"/>
      <c r="B62" s="64"/>
      <c r="C62" s="41"/>
      <c r="D62" s="44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21">
        <v>5</v>
      </c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25" ht="19.95" customHeight="1" x14ac:dyDescent="0.3">
      <c r="A63" s="58"/>
      <c r="B63" s="64"/>
      <c r="C63" s="41" t="s">
        <v>159</v>
      </c>
      <c r="D63" s="44" t="s">
        <v>40</v>
      </c>
      <c r="E63" s="12">
        <v>8</v>
      </c>
      <c r="F63" s="12">
        <v>6</v>
      </c>
      <c r="G63" s="12">
        <v>6</v>
      </c>
      <c r="H63" s="12">
        <v>6</v>
      </c>
      <c r="I63" s="12">
        <v>6</v>
      </c>
      <c r="J63" s="12">
        <v>6</v>
      </c>
      <c r="K63" s="12">
        <v>6</v>
      </c>
      <c r="L63" s="12">
        <v>6</v>
      </c>
      <c r="M63" s="12">
        <v>6</v>
      </c>
      <c r="N63" s="12">
        <v>6</v>
      </c>
      <c r="O63" s="12">
        <v>6</v>
      </c>
      <c r="P63" s="18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</row>
    <row r="64" spans="1:25" ht="19.95" customHeight="1" x14ac:dyDescent="0.3">
      <c r="A64" s="58"/>
      <c r="B64" s="64"/>
      <c r="C64" s="41"/>
      <c r="D64" s="44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21">
        <v>2</v>
      </c>
      <c r="Q64" s="39"/>
      <c r="R64" s="39"/>
      <c r="S64" s="39"/>
      <c r="T64" s="39"/>
      <c r="U64" s="39"/>
      <c r="V64" s="39"/>
      <c r="W64" s="39"/>
      <c r="X64" s="39"/>
      <c r="Y64" s="39"/>
    </row>
    <row r="65" spans="1:25" ht="19.95" customHeight="1" x14ac:dyDescent="0.3">
      <c r="A65" s="58"/>
      <c r="B65" s="64"/>
      <c r="C65" s="41" t="s">
        <v>160</v>
      </c>
      <c r="D65" s="44" t="s">
        <v>43</v>
      </c>
      <c r="E65" s="12">
        <v>2</v>
      </c>
      <c r="F65" s="12">
        <v>2</v>
      </c>
      <c r="G65" s="12">
        <v>2</v>
      </c>
      <c r="H65" s="12">
        <v>2</v>
      </c>
      <c r="I65" s="12">
        <v>2</v>
      </c>
      <c r="J65" s="12">
        <v>2</v>
      </c>
      <c r="K65" s="12">
        <v>2</v>
      </c>
      <c r="L65" s="12">
        <v>2</v>
      </c>
      <c r="M65" s="12">
        <v>2</v>
      </c>
      <c r="N65" s="12">
        <v>2</v>
      </c>
      <c r="O65" s="12">
        <v>2</v>
      </c>
      <c r="P65" s="18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</row>
    <row r="66" spans="1:25" ht="19.95" customHeight="1" x14ac:dyDescent="0.3">
      <c r="A66" s="58"/>
      <c r="B66" s="64"/>
      <c r="C66" s="41" t="s">
        <v>161</v>
      </c>
      <c r="D66" s="44" t="s">
        <v>40</v>
      </c>
      <c r="E66" s="12">
        <v>2</v>
      </c>
      <c r="F66" s="12">
        <v>3</v>
      </c>
      <c r="G66" s="12">
        <v>3</v>
      </c>
      <c r="H66" s="12">
        <v>3</v>
      </c>
      <c r="I66" s="12">
        <v>3</v>
      </c>
      <c r="J66" s="12">
        <v>3</v>
      </c>
      <c r="K66" s="12">
        <v>3</v>
      </c>
      <c r="L66" s="12">
        <v>3</v>
      </c>
      <c r="M66" s="12">
        <v>3</v>
      </c>
      <c r="N66" s="12">
        <v>3</v>
      </c>
      <c r="O66" s="12">
        <v>3</v>
      </c>
      <c r="P66" s="12">
        <v>3</v>
      </c>
      <c r="Q66" s="18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0</v>
      </c>
      <c r="X66" s="39">
        <v>0</v>
      </c>
      <c r="Y66" s="39">
        <v>0</v>
      </c>
    </row>
    <row r="67" spans="1:25" ht="19.95" customHeight="1" x14ac:dyDescent="0.3">
      <c r="A67" s="58"/>
      <c r="B67" s="64"/>
      <c r="C67" s="41"/>
      <c r="D67" s="44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24">
        <v>1</v>
      </c>
      <c r="R67" s="39"/>
      <c r="S67" s="39"/>
      <c r="T67" s="39"/>
      <c r="U67" s="39"/>
      <c r="V67" s="39"/>
      <c r="W67" s="39"/>
      <c r="X67" s="39"/>
      <c r="Y67" s="39"/>
    </row>
    <row r="68" spans="1:25" ht="19.95" customHeight="1" x14ac:dyDescent="0.3">
      <c r="A68" s="58"/>
      <c r="B68" s="64"/>
      <c r="C68" s="41" t="s">
        <v>162</v>
      </c>
      <c r="D68" s="44" t="s">
        <v>43</v>
      </c>
      <c r="E68" s="12">
        <v>3</v>
      </c>
      <c r="F68" s="12">
        <v>4</v>
      </c>
      <c r="G68" s="12">
        <v>4</v>
      </c>
      <c r="H68" s="12">
        <v>4</v>
      </c>
      <c r="I68" s="12">
        <v>4</v>
      </c>
      <c r="J68" s="12">
        <v>4</v>
      </c>
      <c r="K68" s="12">
        <v>4</v>
      </c>
      <c r="L68" s="12">
        <v>4</v>
      </c>
      <c r="M68" s="12">
        <v>4</v>
      </c>
      <c r="N68" s="12">
        <v>4</v>
      </c>
      <c r="O68" s="12">
        <v>4</v>
      </c>
      <c r="P68" s="12">
        <v>4</v>
      </c>
      <c r="Q68" s="18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</row>
    <row r="69" spans="1:25" ht="19.95" customHeight="1" x14ac:dyDescent="0.3">
      <c r="A69" s="58"/>
      <c r="B69" s="64"/>
      <c r="C69" s="41"/>
      <c r="D69" s="44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4">
        <v>1</v>
      </c>
      <c r="R69" s="39"/>
      <c r="S69" s="39"/>
      <c r="T69" s="39"/>
      <c r="U69" s="39"/>
      <c r="V69" s="39"/>
      <c r="W69" s="39"/>
      <c r="X69" s="39"/>
      <c r="Y69" s="39"/>
    </row>
    <row r="70" spans="1:25" ht="19.95" customHeight="1" x14ac:dyDescent="0.3">
      <c r="A70" s="58"/>
      <c r="B70" s="64"/>
      <c r="C70" s="41" t="s">
        <v>163</v>
      </c>
      <c r="D70" s="44" t="s">
        <v>40</v>
      </c>
      <c r="E70" s="12">
        <v>3</v>
      </c>
      <c r="F70" s="12">
        <v>3</v>
      </c>
      <c r="G70" s="12">
        <v>3</v>
      </c>
      <c r="H70" s="12">
        <v>3</v>
      </c>
      <c r="I70" s="12">
        <v>3</v>
      </c>
      <c r="J70" s="12">
        <v>3</v>
      </c>
      <c r="K70" s="12">
        <v>3</v>
      </c>
      <c r="L70" s="12">
        <v>3</v>
      </c>
      <c r="M70" s="12">
        <v>3</v>
      </c>
      <c r="N70" s="12">
        <v>3</v>
      </c>
      <c r="O70" s="12">
        <v>3</v>
      </c>
      <c r="P70" s="12">
        <v>3</v>
      </c>
      <c r="Q70" s="12">
        <v>3</v>
      </c>
      <c r="R70" s="18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</row>
    <row r="71" spans="1:25" ht="19.95" customHeight="1" x14ac:dyDescent="0.3">
      <c r="A71" s="58"/>
      <c r="B71" s="64"/>
      <c r="C71" s="41" t="s">
        <v>164</v>
      </c>
      <c r="D71" s="44" t="s">
        <v>43</v>
      </c>
      <c r="E71" s="12">
        <v>2</v>
      </c>
      <c r="F71" s="12">
        <v>2</v>
      </c>
      <c r="G71" s="12">
        <v>2</v>
      </c>
      <c r="H71" s="12">
        <v>2</v>
      </c>
      <c r="I71" s="12">
        <v>2</v>
      </c>
      <c r="J71" s="12">
        <v>2</v>
      </c>
      <c r="K71" s="12">
        <v>2</v>
      </c>
      <c r="L71" s="12">
        <v>2</v>
      </c>
      <c r="M71" s="12">
        <v>2</v>
      </c>
      <c r="N71" s="12">
        <v>2</v>
      </c>
      <c r="O71" s="12">
        <v>2</v>
      </c>
      <c r="P71" s="12">
        <v>2</v>
      </c>
      <c r="Q71" s="12">
        <v>2</v>
      </c>
      <c r="R71" s="18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</row>
    <row r="72" spans="1:25" ht="19.95" customHeight="1" x14ac:dyDescent="0.3">
      <c r="A72" s="58"/>
      <c r="B72" s="64"/>
      <c r="C72" s="41" t="s">
        <v>165</v>
      </c>
      <c r="D72" s="44" t="s">
        <v>40</v>
      </c>
      <c r="E72" s="12">
        <v>3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1</v>
      </c>
      <c r="M72" s="12">
        <v>1</v>
      </c>
      <c r="N72" s="12">
        <v>1</v>
      </c>
      <c r="O72" s="12">
        <v>1</v>
      </c>
      <c r="P72" s="12">
        <v>1</v>
      </c>
      <c r="Q72" s="12">
        <v>1</v>
      </c>
      <c r="R72" s="12">
        <v>1</v>
      </c>
      <c r="S72" s="18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</row>
    <row r="73" spans="1:25" ht="19.95" customHeight="1" x14ac:dyDescent="0.3">
      <c r="A73" s="58"/>
      <c r="B73" s="64"/>
      <c r="C73" s="41"/>
      <c r="D73" s="44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21">
        <v>2</v>
      </c>
      <c r="T73" s="39"/>
      <c r="U73" s="39"/>
      <c r="V73" s="39"/>
      <c r="W73" s="39"/>
      <c r="X73" s="39"/>
      <c r="Y73" s="39"/>
    </row>
    <row r="74" spans="1:25" ht="19.95" customHeight="1" x14ac:dyDescent="0.3">
      <c r="A74" s="58"/>
      <c r="B74" s="64"/>
      <c r="C74" s="41" t="s">
        <v>166</v>
      </c>
      <c r="D74" s="44" t="s">
        <v>43</v>
      </c>
      <c r="E74" s="12">
        <v>1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  <c r="M74" s="12">
        <v>1</v>
      </c>
      <c r="N74" s="12">
        <v>1</v>
      </c>
      <c r="O74" s="12">
        <v>1</v>
      </c>
      <c r="P74" s="12">
        <v>1</v>
      </c>
      <c r="Q74" s="12">
        <v>1</v>
      </c>
      <c r="R74" s="12">
        <v>1</v>
      </c>
      <c r="S74" s="18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</row>
    <row r="75" spans="1:25" ht="19.95" customHeight="1" x14ac:dyDescent="0.3">
      <c r="A75" s="58"/>
      <c r="B75" s="64"/>
      <c r="C75" s="33" t="s">
        <v>167</v>
      </c>
      <c r="D75" s="44" t="s">
        <v>17</v>
      </c>
      <c r="E75" s="44">
        <v>10</v>
      </c>
      <c r="F75" s="44">
        <v>10</v>
      </c>
      <c r="G75" s="44">
        <v>10</v>
      </c>
      <c r="H75" s="44">
        <v>10</v>
      </c>
      <c r="I75" s="44">
        <v>10</v>
      </c>
      <c r="J75" s="44">
        <v>10</v>
      </c>
      <c r="K75" s="44">
        <v>10</v>
      </c>
      <c r="L75" s="44">
        <v>10</v>
      </c>
      <c r="M75" s="44">
        <v>10</v>
      </c>
      <c r="N75" s="44">
        <v>10</v>
      </c>
      <c r="O75" s="44">
        <v>10</v>
      </c>
      <c r="P75" s="44">
        <v>10</v>
      </c>
      <c r="Q75" s="44">
        <v>10</v>
      </c>
      <c r="R75" s="44">
        <v>10</v>
      </c>
      <c r="S75" s="18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</row>
    <row r="76" spans="1:25" ht="19.95" customHeight="1" x14ac:dyDescent="0.3">
      <c r="A76" s="58"/>
      <c r="B76" s="64" t="s">
        <v>12</v>
      </c>
      <c r="C76" s="41" t="s">
        <v>168</v>
      </c>
      <c r="D76" s="44" t="s">
        <v>49</v>
      </c>
      <c r="E76" s="49">
        <v>1</v>
      </c>
      <c r="F76" s="49">
        <v>1</v>
      </c>
      <c r="G76" s="49">
        <v>1</v>
      </c>
      <c r="H76" s="49">
        <v>1</v>
      </c>
      <c r="I76" s="49">
        <v>1</v>
      </c>
      <c r="J76" s="49">
        <v>1</v>
      </c>
      <c r="K76" s="49">
        <v>1</v>
      </c>
      <c r="L76" s="49">
        <v>1</v>
      </c>
      <c r="M76" s="49">
        <v>1</v>
      </c>
      <c r="N76" s="49">
        <v>1</v>
      </c>
      <c r="O76" s="49">
        <v>1</v>
      </c>
      <c r="P76" s="49">
        <v>1</v>
      </c>
      <c r="Q76" s="49">
        <v>1</v>
      </c>
      <c r="R76" s="49">
        <v>1</v>
      </c>
      <c r="S76" s="49">
        <v>1</v>
      </c>
      <c r="T76" s="18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</row>
    <row r="77" spans="1:25" ht="19.95" customHeight="1" x14ac:dyDescent="0.3">
      <c r="A77" s="58"/>
      <c r="B77" s="64"/>
      <c r="C77" s="41" t="s">
        <v>169</v>
      </c>
      <c r="D77" s="44" t="s">
        <v>50</v>
      </c>
      <c r="E77" s="12">
        <v>1.5</v>
      </c>
      <c r="F77" s="12">
        <v>1.5</v>
      </c>
      <c r="G77" s="12">
        <v>1.5</v>
      </c>
      <c r="H77" s="12">
        <v>1.5</v>
      </c>
      <c r="I77" s="12">
        <v>1.5</v>
      </c>
      <c r="J77" s="12">
        <v>1.5</v>
      </c>
      <c r="K77" s="12">
        <v>1.5</v>
      </c>
      <c r="L77" s="12">
        <v>1.5</v>
      </c>
      <c r="M77" s="12">
        <v>1.5</v>
      </c>
      <c r="N77" s="12">
        <v>1.5</v>
      </c>
      <c r="O77" s="12">
        <v>1.5</v>
      </c>
      <c r="P77" s="12">
        <v>1.5</v>
      </c>
      <c r="Q77" s="12">
        <v>1.5</v>
      </c>
      <c r="R77" s="12">
        <v>1.5</v>
      </c>
      <c r="S77" s="12">
        <v>1.5</v>
      </c>
      <c r="T77" s="18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</row>
    <row r="78" spans="1:25" ht="19.95" customHeight="1" x14ac:dyDescent="0.3">
      <c r="A78" s="58"/>
      <c r="B78" s="64"/>
      <c r="C78" s="41" t="s">
        <v>170</v>
      </c>
      <c r="D78" s="44" t="s">
        <v>49</v>
      </c>
      <c r="E78" s="12">
        <v>1.5</v>
      </c>
      <c r="F78" s="12">
        <v>1.5</v>
      </c>
      <c r="G78" s="12">
        <v>1.5</v>
      </c>
      <c r="H78" s="12">
        <v>1.5</v>
      </c>
      <c r="I78" s="12">
        <v>1.5</v>
      </c>
      <c r="J78" s="12">
        <v>1.5</v>
      </c>
      <c r="K78" s="12">
        <v>1.5</v>
      </c>
      <c r="L78" s="12">
        <v>1.5</v>
      </c>
      <c r="M78" s="12">
        <v>1.5</v>
      </c>
      <c r="N78" s="12">
        <v>1.5</v>
      </c>
      <c r="O78" s="12">
        <v>1.5</v>
      </c>
      <c r="P78" s="12">
        <v>1.5</v>
      </c>
      <c r="Q78" s="12">
        <v>1.5</v>
      </c>
      <c r="R78" s="12">
        <v>1.5</v>
      </c>
      <c r="S78" s="12">
        <v>1.5</v>
      </c>
      <c r="T78" s="18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</row>
    <row r="79" spans="1:25" ht="19.95" customHeight="1" x14ac:dyDescent="0.3">
      <c r="A79" s="58"/>
      <c r="B79" s="64"/>
      <c r="C79" s="41" t="s">
        <v>171</v>
      </c>
      <c r="D79" s="44" t="s">
        <v>49</v>
      </c>
      <c r="E79" s="12">
        <v>1</v>
      </c>
      <c r="F79" s="12">
        <v>1</v>
      </c>
      <c r="G79" s="12">
        <v>1</v>
      </c>
      <c r="H79" s="12">
        <v>1</v>
      </c>
      <c r="I79" s="12">
        <v>1</v>
      </c>
      <c r="J79" s="12">
        <v>1</v>
      </c>
      <c r="K79" s="12">
        <v>1</v>
      </c>
      <c r="L79" s="12">
        <v>1</v>
      </c>
      <c r="M79" s="12">
        <v>1</v>
      </c>
      <c r="N79" s="12">
        <v>1</v>
      </c>
      <c r="O79" s="12">
        <v>1</v>
      </c>
      <c r="P79" s="12">
        <v>1</v>
      </c>
      <c r="Q79" s="12">
        <v>1</v>
      </c>
      <c r="R79" s="12">
        <v>1</v>
      </c>
      <c r="S79" s="12">
        <v>1</v>
      </c>
      <c r="T79" s="18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</row>
    <row r="80" spans="1:25" ht="19.95" customHeight="1" x14ac:dyDescent="0.3">
      <c r="A80" s="58"/>
      <c r="B80" s="64"/>
      <c r="C80" s="41" t="s">
        <v>172</v>
      </c>
      <c r="D80" s="44" t="s">
        <v>50</v>
      </c>
      <c r="E80" s="12">
        <v>1</v>
      </c>
      <c r="F80" s="12">
        <v>1</v>
      </c>
      <c r="G80" s="12">
        <v>1</v>
      </c>
      <c r="H80" s="12">
        <v>1</v>
      </c>
      <c r="I80" s="12">
        <v>1</v>
      </c>
      <c r="J80" s="12">
        <v>1</v>
      </c>
      <c r="K80" s="12">
        <v>1</v>
      </c>
      <c r="L80" s="12">
        <v>1</v>
      </c>
      <c r="M80" s="12">
        <v>1</v>
      </c>
      <c r="N80" s="12">
        <v>1</v>
      </c>
      <c r="O80" s="12">
        <v>1</v>
      </c>
      <c r="P80" s="12">
        <v>1</v>
      </c>
      <c r="Q80" s="12">
        <v>1</v>
      </c>
      <c r="R80" s="12">
        <v>1</v>
      </c>
      <c r="S80" s="12">
        <v>1</v>
      </c>
      <c r="T80" s="18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</row>
    <row r="81" spans="1:25" ht="19.95" customHeight="1" x14ac:dyDescent="0.3">
      <c r="A81" s="58"/>
      <c r="B81" s="64"/>
      <c r="C81" s="41" t="s">
        <v>173</v>
      </c>
      <c r="D81" s="44" t="s">
        <v>50</v>
      </c>
      <c r="E81" s="12">
        <v>1</v>
      </c>
      <c r="F81" s="12">
        <v>1</v>
      </c>
      <c r="G81" s="12">
        <v>1</v>
      </c>
      <c r="H81" s="12">
        <v>1</v>
      </c>
      <c r="I81" s="12">
        <v>1</v>
      </c>
      <c r="J81" s="12">
        <v>1</v>
      </c>
      <c r="K81" s="12">
        <v>1</v>
      </c>
      <c r="L81" s="12">
        <v>1</v>
      </c>
      <c r="M81" s="12">
        <v>1</v>
      </c>
      <c r="N81" s="12">
        <v>1</v>
      </c>
      <c r="O81" s="12">
        <v>1</v>
      </c>
      <c r="P81" s="12">
        <v>1</v>
      </c>
      <c r="Q81" s="12">
        <v>1</v>
      </c>
      <c r="R81" s="12">
        <v>1</v>
      </c>
      <c r="S81" s="12">
        <v>1</v>
      </c>
      <c r="T81" s="18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</row>
    <row r="82" spans="1:25" ht="19.95" customHeight="1" x14ac:dyDescent="0.3">
      <c r="A82" s="58"/>
      <c r="B82" s="64"/>
      <c r="C82" s="41" t="s">
        <v>174</v>
      </c>
      <c r="D82" s="44" t="s">
        <v>22</v>
      </c>
      <c r="E82" s="12">
        <v>1</v>
      </c>
      <c r="F82" s="12">
        <v>1</v>
      </c>
      <c r="G82" s="12">
        <v>1</v>
      </c>
      <c r="H82" s="12">
        <v>1</v>
      </c>
      <c r="I82" s="12">
        <v>1</v>
      </c>
      <c r="J82" s="12">
        <v>1</v>
      </c>
      <c r="K82" s="12">
        <v>1</v>
      </c>
      <c r="L82" s="12">
        <v>1</v>
      </c>
      <c r="M82" s="12">
        <v>1</v>
      </c>
      <c r="N82" s="12">
        <v>1</v>
      </c>
      <c r="O82" s="12">
        <v>1</v>
      </c>
      <c r="P82" s="12">
        <v>1</v>
      </c>
      <c r="Q82" s="12">
        <v>1</v>
      </c>
      <c r="R82" s="12">
        <v>1</v>
      </c>
      <c r="S82" s="12">
        <v>1</v>
      </c>
      <c r="T82" s="18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</row>
    <row r="83" spans="1:25" ht="19.95" customHeight="1" x14ac:dyDescent="0.3">
      <c r="A83" s="58"/>
      <c r="B83" s="64"/>
      <c r="C83" s="41" t="s">
        <v>175</v>
      </c>
      <c r="D83" s="44" t="s">
        <v>22</v>
      </c>
      <c r="E83" s="12">
        <v>0.5</v>
      </c>
      <c r="F83" s="12">
        <v>0.5</v>
      </c>
      <c r="G83" s="12">
        <v>0.5</v>
      </c>
      <c r="H83" s="12">
        <v>0.5</v>
      </c>
      <c r="I83" s="12">
        <v>0.5</v>
      </c>
      <c r="J83" s="12">
        <v>0.5</v>
      </c>
      <c r="K83" s="12">
        <v>0.5</v>
      </c>
      <c r="L83" s="12">
        <v>0.5</v>
      </c>
      <c r="M83" s="12">
        <v>0.5</v>
      </c>
      <c r="N83" s="12">
        <v>0.5</v>
      </c>
      <c r="O83" s="12">
        <v>0.5</v>
      </c>
      <c r="P83" s="12">
        <v>0.5</v>
      </c>
      <c r="Q83" s="12">
        <v>0.5</v>
      </c>
      <c r="R83" s="12">
        <v>0.5</v>
      </c>
      <c r="S83" s="12">
        <v>0.5</v>
      </c>
      <c r="T83" s="18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</row>
    <row r="84" spans="1:25" ht="19.95" customHeight="1" x14ac:dyDescent="0.3">
      <c r="A84" s="58"/>
      <c r="B84" s="64"/>
      <c r="C84" s="41" t="s">
        <v>176</v>
      </c>
      <c r="D84" s="44" t="s">
        <v>49</v>
      </c>
      <c r="E84" s="12">
        <v>0.5</v>
      </c>
      <c r="F84" s="12">
        <v>0.5</v>
      </c>
      <c r="G84" s="12">
        <v>0.5</v>
      </c>
      <c r="H84" s="12">
        <v>0.5</v>
      </c>
      <c r="I84" s="12">
        <v>0.5</v>
      </c>
      <c r="J84" s="12">
        <v>0.5</v>
      </c>
      <c r="K84" s="12">
        <v>0.5</v>
      </c>
      <c r="L84" s="12">
        <v>0.5</v>
      </c>
      <c r="M84" s="12">
        <v>0.5</v>
      </c>
      <c r="N84" s="12">
        <v>0.5</v>
      </c>
      <c r="O84" s="12">
        <v>0.5</v>
      </c>
      <c r="P84" s="12">
        <v>0.5</v>
      </c>
      <c r="Q84" s="12">
        <v>0.5</v>
      </c>
      <c r="R84" s="12">
        <v>0.5</v>
      </c>
      <c r="S84" s="12">
        <v>0.5</v>
      </c>
      <c r="T84" s="18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</row>
    <row r="85" spans="1:25" ht="19.95" customHeight="1" x14ac:dyDescent="0.3">
      <c r="A85" s="58"/>
      <c r="B85" s="64"/>
      <c r="C85" s="41" t="s">
        <v>177</v>
      </c>
      <c r="D85" s="44" t="s">
        <v>50</v>
      </c>
      <c r="E85" s="12">
        <v>1</v>
      </c>
      <c r="F85" s="12">
        <v>1</v>
      </c>
      <c r="G85" s="12">
        <v>1</v>
      </c>
      <c r="H85" s="12">
        <v>1</v>
      </c>
      <c r="I85" s="12">
        <v>1</v>
      </c>
      <c r="J85" s="12">
        <v>1</v>
      </c>
      <c r="K85" s="12">
        <v>1</v>
      </c>
      <c r="L85" s="12">
        <v>1</v>
      </c>
      <c r="M85" s="12">
        <v>1</v>
      </c>
      <c r="N85" s="12">
        <v>1</v>
      </c>
      <c r="O85" s="12">
        <v>1</v>
      </c>
      <c r="P85" s="12">
        <v>1</v>
      </c>
      <c r="Q85" s="12">
        <v>1</v>
      </c>
      <c r="R85" s="12">
        <v>1</v>
      </c>
      <c r="S85" s="12">
        <v>1</v>
      </c>
      <c r="T85" s="18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</row>
    <row r="86" spans="1:25" ht="19.95" customHeight="1" x14ac:dyDescent="0.3">
      <c r="A86" s="58"/>
      <c r="B86" s="64" t="s">
        <v>46</v>
      </c>
      <c r="C86" s="41" t="s">
        <v>186</v>
      </c>
      <c r="D86" s="44" t="s">
        <v>51</v>
      </c>
      <c r="E86" s="49">
        <v>1</v>
      </c>
      <c r="F86" s="49">
        <v>1</v>
      </c>
      <c r="G86" s="49">
        <v>1</v>
      </c>
      <c r="H86" s="49">
        <v>1</v>
      </c>
      <c r="I86" s="49">
        <v>1</v>
      </c>
      <c r="J86" s="49">
        <v>1</v>
      </c>
      <c r="K86" s="49">
        <v>1</v>
      </c>
      <c r="L86" s="49">
        <v>1</v>
      </c>
      <c r="M86" s="49">
        <v>1</v>
      </c>
      <c r="N86" s="49">
        <v>1</v>
      </c>
      <c r="O86" s="49">
        <v>1</v>
      </c>
      <c r="P86" s="49">
        <v>1</v>
      </c>
      <c r="Q86" s="49">
        <v>1</v>
      </c>
      <c r="R86" s="49">
        <v>1</v>
      </c>
      <c r="S86" s="49">
        <v>1</v>
      </c>
      <c r="T86" s="49">
        <v>1</v>
      </c>
      <c r="U86" s="18">
        <v>0</v>
      </c>
      <c r="V86" s="39">
        <v>0</v>
      </c>
      <c r="W86" s="39">
        <v>0</v>
      </c>
      <c r="X86" s="39">
        <v>0</v>
      </c>
      <c r="Y86" s="39">
        <v>0</v>
      </c>
    </row>
    <row r="87" spans="1:25" ht="19.95" customHeight="1" x14ac:dyDescent="0.3">
      <c r="A87" s="58"/>
      <c r="B87" s="64"/>
      <c r="C87" s="41" t="s">
        <v>178</v>
      </c>
      <c r="D87" s="44" t="s">
        <v>51</v>
      </c>
      <c r="E87" s="12">
        <v>1.5</v>
      </c>
      <c r="F87" s="12">
        <v>1.5</v>
      </c>
      <c r="G87" s="12">
        <v>1.5</v>
      </c>
      <c r="H87" s="12">
        <v>1.5</v>
      </c>
      <c r="I87" s="12">
        <v>1.5</v>
      </c>
      <c r="J87" s="12">
        <v>1.5</v>
      </c>
      <c r="K87" s="12">
        <v>1.5</v>
      </c>
      <c r="L87" s="12">
        <v>1.5</v>
      </c>
      <c r="M87" s="12">
        <v>1.5</v>
      </c>
      <c r="N87" s="12">
        <v>1.5</v>
      </c>
      <c r="O87" s="12">
        <v>1.5</v>
      </c>
      <c r="P87" s="12">
        <v>1.5</v>
      </c>
      <c r="Q87" s="12">
        <v>1.5</v>
      </c>
      <c r="R87" s="12">
        <v>1.5</v>
      </c>
      <c r="S87" s="12">
        <v>1.5</v>
      </c>
      <c r="T87" s="12">
        <v>1.5</v>
      </c>
      <c r="U87" s="18">
        <v>0</v>
      </c>
      <c r="V87" s="39">
        <v>0</v>
      </c>
      <c r="W87" s="39">
        <v>0</v>
      </c>
      <c r="X87" s="39">
        <v>0</v>
      </c>
      <c r="Y87" s="39">
        <v>0</v>
      </c>
    </row>
    <row r="88" spans="1:25" ht="19.95" customHeight="1" x14ac:dyDescent="0.3">
      <c r="A88" s="58"/>
      <c r="B88" s="64"/>
      <c r="C88" s="41" t="s">
        <v>179</v>
      </c>
      <c r="D88" s="44" t="s">
        <v>51</v>
      </c>
      <c r="E88" s="12">
        <v>1.5</v>
      </c>
      <c r="F88" s="12">
        <v>1.5</v>
      </c>
      <c r="G88" s="12">
        <v>1.5</v>
      </c>
      <c r="H88" s="12">
        <v>1.5</v>
      </c>
      <c r="I88" s="12">
        <v>1.5</v>
      </c>
      <c r="J88" s="12">
        <v>1.5</v>
      </c>
      <c r="K88" s="12">
        <v>1.5</v>
      </c>
      <c r="L88" s="12">
        <v>1.5</v>
      </c>
      <c r="M88" s="12">
        <v>1.5</v>
      </c>
      <c r="N88" s="12">
        <v>1.5</v>
      </c>
      <c r="O88" s="12">
        <v>1.5</v>
      </c>
      <c r="P88" s="12">
        <v>1.5</v>
      </c>
      <c r="Q88" s="12">
        <v>1.5</v>
      </c>
      <c r="R88" s="12">
        <v>1.5</v>
      </c>
      <c r="S88" s="12">
        <v>1.5</v>
      </c>
      <c r="T88" s="12">
        <v>1.5</v>
      </c>
      <c r="U88" s="18">
        <v>0</v>
      </c>
      <c r="V88" s="39">
        <v>0</v>
      </c>
      <c r="W88" s="39">
        <v>0</v>
      </c>
      <c r="X88" s="39">
        <v>0</v>
      </c>
      <c r="Y88" s="39">
        <v>0</v>
      </c>
    </row>
    <row r="89" spans="1:25" ht="19.95" customHeight="1" x14ac:dyDescent="0.3">
      <c r="A89" s="58"/>
      <c r="B89" s="64"/>
      <c r="C89" s="41" t="s">
        <v>180</v>
      </c>
      <c r="D89" s="44" t="s">
        <v>51</v>
      </c>
      <c r="E89" s="12">
        <v>1</v>
      </c>
      <c r="F89" s="12">
        <v>1</v>
      </c>
      <c r="G89" s="12">
        <v>1</v>
      </c>
      <c r="H89" s="12">
        <v>1</v>
      </c>
      <c r="I89" s="12">
        <v>1</v>
      </c>
      <c r="J89" s="12">
        <v>1</v>
      </c>
      <c r="K89" s="12">
        <v>1</v>
      </c>
      <c r="L89" s="12">
        <v>1</v>
      </c>
      <c r="M89" s="12">
        <v>1</v>
      </c>
      <c r="N89" s="12">
        <v>1</v>
      </c>
      <c r="O89" s="12">
        <v>1</v>
      </c>
      <c r="P89" s="12">
        <v>1</v>
      </c>
      <c r="Q89" s="12">
        <v>1</v>
      </c>
      <c r="R89" s="12">
        <v>1</v>
      </c>
      <c r="S89" s="12">
        <v>1</v>
      </c>
      <c r="T89" s="12">
        <v>1</v>
      </c>
      <c r="U89" s="18">
        <v>0</v>
      </c>
      <c r="V89" s="39">
        <v>0</v>
      </c>
      <c r="W89" s="39">
        <v>0</v>
      </c>
      <c r="X89" s="39">
        <v>0</v>
      </c>
      <c r="Y89" s="39">
        <v>0</v>
      </c>
    </row>
    <row r="90" spans="1:25" ht="19.95" customHeight="1" x14ac:dyDescent="0.3">
      <c r="A90" s="58"/>
      <c r="B90" s="64"/>
      <c r="C90" s="41" t="s">
        <v>181</v>
      </c>
      <c r="D90" s="44" t="s">
        <v>51</v>
      </c>
      <c r="E90" s="12">
        <v>1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1</v>
      </c>
      <c r="N90" s="12">
        <v>1</v>
      </c>
      <c r="O90" s="12">
        <v>1</v>
      </c>
      <c r="P90" s="12">
        <v>1</v>
      </c>
      <c r="Q90" s="12">
        <v>1</v>
      </c>
      <c r="R90" s="12">
        <v>1</v>
      </c>
      <c r="S90" s="12">
        <v>1</v>
      </c>
      <c r="T90" s="12">
        <v>1</v>
      </c>
      <c r="U90" s="18">
        <v>0</v>
      </c>
      <c r="V90" s="39">
        <v>0</v>
      </c>
      <c r="W90" s="39">
        <v>0</v>
      </c>
      <c r="X90" s="39">
        <v>0</v>
      </c>
      <c r="Y90" s="39">
        <v>0</v>
      </c>
    </row>
    <row r="91" spans="1:25" ht="19.95" customHeight="1" x14ac:dyDescent="0.3">
      <c r="A91" s="58"/>
      <c r="B91" s="64"/>
      <c r="C91" s="41" t="s">
        <v>182</v>
      </c>
      <c r="D91" s="44" t="s">
        <v>51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1</v>
      </c>
      <c r="N91" s="12">
        <v>1</v>
      </c>
      <c r="O91" s="12">
        <v>1</v>
      </c>
      <c r="P91" s="12">
        <v>1</v>
      </c>
      <c r="Q91" s="12">
        <v>1</v>
      </c>
      <c r="R91" s="12">
        <v>1</v>
      </c>
      <c r="S91" s="12">
        <v>1</v>
      </c>
      <c r="T91" s="12">
        <v>1</v>
      </c>
      <c r="U91" s="12">
        <v>1</v>
      </c>
      <c r="V91" s="18">
        <v>0</v>
      </c>
      <c r="W91" s="39">
        <v>0</v>
      </c>
      <c r="X91" s="39">
        <v>0</v>
      </c>
      <c r="Y91" s="39">
        <v>0</v>
      </c>
    </row>
    <row r="92" spans="1:25" ht="19.95" customHeight="1" x14ac:dyDescent="0.3">
      <c r="A92" s="58"/>
      <c r="B92" s="64"/>
      <c r="C92" s="41" t="s">
        <v>183</v>
      </c>
      <c r="D92" s="44" t="s">
        <v>51</v>
      </c>
      <c r="E92" s="12">
        <v>1</v>
      </c>
      <c r="F92" s="12">
        <v>1</v>
      </c>
      <c r="G92" s="12">
        <v>1</v>
      </c>
      <c r="H92" s="12">
        <v>1</v>
      </c>
      <c r="I92" s="12">
        <v>1</v>
      </c>
      <c r="J92" s="12">
        <v>1</v>
      </c>
      <c r="K92" s="12">
        <v>1</v>
      </c>
      <c r="L92" s="12">
        <v>1</v>
      </c>
      <c r="M92" s="12">
        <v>1</v>
      </c>
      <c r="N92" s="12">
        <v>1</v>
      </c>
      <c r="O92" s="12">
        <v>1</v>
      </c>
      <c r="P92" s="12">
        <v>1</v>
      </c>
      <c r="Q92" s="12">
        <v>1</v>
      </c>
      <c r="R92" s="12">
        <v>1</v>
      </c>
      <c r="S92" s="12">
        <v>1</v>
      </c>
      <c r="T92" s="12">
        <v>1</v>
      </c>
      <c r="U92" s="12">
        <v>1</v>
      </c>
      <c r="V92" s="18">
        <v>0</v>
      </c>
      <c r="W92" s="39">
        <v>0</v>
      </c>
      <c r="X92" s="39">
        <v>0</v>
      </c>
      <c r="Y92" s="39">
        <v>0</v>
      </c>
    </row>
    <row r="93" spans="1:25" ht="19.95" customHeight="1" x14ac:dyDescent="0.3">
      <c r="A93" s="58"/>
      <c r="B93" s="64"/>
      <c r="C93" s="41" t="s">
        <v>184</v>
      </c>
      <c r="D93" s="44" t="s">
        <v>51</v>
      </c>
      <c r="E93" s="12">
        <v>0.5</v>
      </c>
      <c r="F93" s="12">
        <v>0.5</v>
      </c>
      <c r="G93" s="12">
        <v>0.5</v>
      </c>
      <c r="H93" s="12">
        <v>0.5</v>
      </c>
      <c r="I93" s="12">
        <v>0.5</v>
      </c>
      <c r="J93" s="12">
        <v>0.5</v>
      </c>
      <c r="K93" s="12">
        <v>0.5</v>
      </c>
      <c r="L93" s="12">
        <v>0.5</v>
      </c>
      <c r="M93" s="12">
        <v>0.5</v>
      </c>
      <c r="N93" s="12">
        <v>0.5</v>
      </c>
      <c r="O93" s="12">
        <v>0.5</v>
      </c>
      <c r="P93" s="12">
        <v>0.5</v>
      </c>
      <c r="Q93" s="12">
        <v>0.5</v>
      </c>
      <c r="R93" s="12">
        <v>0.5</v>
      </c>
      <c r="S93" s="12">
        <v>0.5</v>
      </c>
      <c r="T93" s="12">
        <v>0.5</v>
      </c>
      <c r="U93" s="12">
        <v>0.5</v>
      </c>
      <c r="V93" s="18">
        <v>0</v>
      </c>
      <c r="W93" s="39">
        <v>0</v>
      </c>
      <c r="X93" s="39">
        <v>0</v>
      </c>
      <c r="Y93" s="39">
        <v>0</v>
      </c>
    </row>
    <row r="94" spans="1:25" ht="19.95" customHeight="1" x14ac:dyDescent="0.3">
      <c r="A94" s="58"/>
      <c r="B94" s="64"/>
      <c r="C94" s="41" t="s">
        <v>185</v>
      </c>
      <c r="D94" s="44" t="s">
        <v>51</v>
      </c>
      <c r="E94" s="12">
        <v>0.5</v>
      </c>
      <c r="F94" s="12">
        <v>0.5</v>
      </c>
      <c r="G94" s="12">
        <v>0.5</v>
      </c>
      <c r="H94" s="12">
        <v>0.5</v>
      </c>
      <c r="I94" s="12">
        <v>0.5</v>
      </c>
      <c r="J94" s="12">
        <v>0.5</v>
      </c>
      <c r="K94" s="12">
        <v>0.5</v>
      </c>
      <c r="L94" s="12">
        <v>0.5</v>
      </c>
      <c r="M94" s="12">
        <v>0.5</v>
      </c>
      <c r="N94" s="12">
        <v>0.5</v>
      </c>
      <c r="O94" s="12">
        <v>0.5</v>
      </c>
      <c r="P94" s="12">
        <v>0.5</v>
      </c>
      <c r="Q94" s="12">
        <v>0.5</v>
      </c>
      <c r="R94" s="12">
        <v>0.5</v>
      </c>
      <c r="S94" s="12">
        <v>0.5</v>
      </c>
      <c r="T94" s="12">
        <v>0.5</v>
      </c>
      <c r="U94" s="12">
        <v>0.5</v>
      </c>
      <c r="V94" s="18">
        <v>0</v>
      </c>
      <c r="W94" s="39">
        <v>0</v>
      </c>
      <c r="X94" s="39">
        <v>0</v>
      </c>
      <c r="Y94" s="39">
        <v>0</v>
      </c>
    </row>
    <row r="95" spans="1:25" ht="19.95" customHeight="1" x14ac:dyDescent="0.3">
      <c r="A95" s="58"/>
      <c r="B95" s="64"/>
      <c r="C95" s="41" t="s">
        <v>187</v>
      </c>
      <c r="D95" s="44" t="s">
        <v>51</v>
      </c>
      <c r="E95" s="12">
        <v>1</v>
      </c>
      <c r="F95" s="12">
        <v>1</v>
      </c>
      <c r="G95" s="12">
        <v>1</v>
      </c>
      <c r="H95" s="12">
        <v>1</v>
      </c>
      <c r="I95" s="12">
        <v>1</v>
      </c>
      <c r="J95" s="12">
        <v>1</v>
      </c>
      <c r="K95" s="12">
        <v>1</v>
      </c>
      <c r="L95" s="12">
        <v>1</v>
      </c>
      <c r="M95" s="12">
        <v>1</v>
      </c>
      <c r="N95" s="12">
        <v>1</v>
      </c>
      <c r="O95" s="12">
        <v>1</v>
      </c>
      <c r="P95" s="12">
        <v>1</v>
      </c>
      <c r="Q95" s="12">
        <v>1</v>
      </c>
      <c r="R95" s="12">
        <v>1</v>
      </c>
      <c r="S95" s="12">
        <v>1</v>
      </c>
      <c r="T95" s="12">
        <v>1</v>
      </c>
      <c r="U95" s="12">
        <v>1</v>
      </c>
      <c r="V95" s="18">
        <v>0</v>
      </c>
      <c r="W95" s="39">
        <v>0</v>
      </c>
      <c r="X95" s="39">
        <v>0</v>
      </c>
      <c r="Y95" s="39">
        <v>0</v>
      </c>
    </row>
    <row r="96" spans="1:25" ht="19.95" customHeight="1" x14ac:dyDescent="0.3">
      <c r="A96" s="58"/>
      <c r="B96" s="64" t="s">
        <v>16</v>
      </c>
      <c r="C96" s="41" t="s">
        <v>188</v>
      </c>
      <c r="D96" s="44" t="s">
        <v>40</v>
      </c>
      <c r="E96" s="12">
        <v>1</v>
      </c>
      <c r="F96" s="12">
        <v>1</v>
      </c>
      <c r="G96" s="12">
        <v>1</v>
      </c>
      <c r="H96" s="12">
        <v>1</v>
      </c>
      <c r="I96" s="12">
        <v>1</v>
      </c>
      <c r="J96" s="12">
        <v>1</v>
      </c>
      <c r="K96" s="12">
        <v>1</v>
      </c>
      <c r="L96" s="12">
        <v>1</v>
      </c>
      <c r="M96" s="12">
        <v>1</v>
      </c>
      <c r="N96" s="12">
        <v>1</v>
      </c>
      <c r="O96" s="12">
        <v>1</v>
      </c>
      <c r="P96" s="12">
        <v>1</v>
      </c>
      <c r="Q96" s="12">
        <v>1</v>
      </c>
      <c r="R96" s="12">
        <v>1</v>
      </c>
      <c r="S96" s="12">
        <v>1</v>
      </c>
      <c r="T96" s="12">
        <v>1</v>
      </c>
      <c r="U96" s="12">
        <v>1</v>
      </c>
      <c r="V96" s="12">
        <v>1</v>
      </c>
      <c r="W96" s="18">
        <v>0</v>
      </c>
      <c r="X96" s="39">
        <v>0</v>
      </c>
      <c r="Y96" s="39">
        <v>0</v>
      </c>
    </row>
    <row r="97" spans="1:25" ht="19.95" customHeight="1" x14ac:dyDescent="0.3">
      <c r="A97" s="58"/>
      <c r="B97" s="64"/>
      <c r="C97" s="41" t="s">
        <v>189</v>
      </c>
      <c r="D97" s="44" t="s">
        <v>49</v>
      </c>
      <c r="E97" s="12">
        <v>1.5</v>
      </c>
      <c r="F97" s="12">
        <v>1.5</v>
      </c>
      <c r="G97" s="12">
        <v>1.5</v>
      </c>
      <c r="H97" s="12">
        <v>1.5</v>
      </c>
      <c r="I97" s="12">
        <v>1.5</v>
      </c>
      <c r="J97" s="12">
        <v>1.5</v>
      </c>
      <c r="K97" s="12">
        <v>1.5</v>
      </c>
      <c r="L97" s="12">
        <v>1.5</v>
      </c>
      <c r="M97" s="12">
        <v>1.5</v>
      </c>
      <c r="N97" s="12">
        <v>1.5</v>
      </c>
      <c r="O97" s="12">
        <v>1.5</v>
      </c>
      <c r="P97" s="12">
        <v>1.5</v>
      </c>
      <c r="Q97" s="12">
        <v>1.5</v>
      </c>
      <c r="R97" s="12">
        <v>1.5</v>
      </c>
      <c r="S97" s="12">
        <v>1.5</v>
      </c>
      <c r="T97" s="12">
        <v>1.5</v>
      </c>
      <c r="U97" s="12">
        <v>1.5</v>
      </c>
      <c r="V97" s="12">
        <v>1.5</v>
      </c>
      <c r="W97" s="18">
        <v>0</v>
      </c>
      <c r="X97" s="39">
        <v>0</v>
      </c>
      <c r="Y97" s="39">
        <v>0</v>
      </c>
    </row>
    <row r="98" spans="1:25" ht="19.95" customHeight="1" x14ac:dyDescent="0.3">
      <c r="A98" s="58"/>
      <c r="B98" s="64"/>
      <c r="C98" s="41" t="s">
        <v>190</v>
      </c>
      <c r="D98" s="45" t="s">
        <v>50</v>
      </c>
      <c r="E98" s="12">
        <v>1.5</v>
      </c>
      <c r="F98" s="12">
        <v>1.5</v>
      </c>
      <c r="G98" s="12">
        <v>1.5</v>
      </c>
      <c r="H98" s="12">
        <v>1.5</v>
      </c>
      <c r="I98" s="12">
        <v>1.5</v>
      </c>
      <c r="J98" s="12">
        <v>1.5</v>
      </c>
      <c r="K98" s="12">
        <v>1.5</v>
      </c>
      <c r="L98" s="12">
        <v>1.5</v>
      </c>
      <c r="M98" s="12">
        <v>1.5</v>
      </c>
      <c r="N98" s="12">
        <v>1.5</v>
      </c>
      <c r="O98" s="12">
        <v>1.5</v>
      </c>
      <c r="P98" s="12">
        <v>1.5</v>
      </c>
      <c r="Q98" s="12">
        <v>1.5</v>
      </c>
      <c r="R98" s="12">
        <v>1.5</v>
      </c>
      <c r="S98" s="12">
        <v>1.5</v>
      </c>
      <c r="T98" s="12">
        <v>1.5</v>
      </c>
      <c r="U98" s="12">
        <v>1.5</v>
      </c>
      <c r="V98" s="12">
        <v>1.5</v>
      </c>
      <c r="W98" s="18">
        <v>0</v>
      </c>
      <c r="X98" s="39">
        <v>0</v>
      </c>
      <c r="Y98" s="39">
        <v>0</v>
      </c>
    </row>
    <row r="99" spans="1:25" ht="19.95" customHeight="1" x14ac:dyDescent="0.3">
      <c r="A99" s="58"/>
      <c r="B99" s="64"/>
      <c r="C99" s="41" t="s">
        <v>191</v>
      </c>
      <c r="D99" s="45" t="s">
        <v>49</v>
      </c>
      <c r="E99" s="12">
        <v>1</v>
      </c>
      <c r="F99" s="12">
        <v>1</v>
      </c>
      <c r="G99" s="12">
        <v>1</v>
      </c>
      <c r="H99" s="12">
        <v>1</v>
      </c>
      <c r="I99" s="12">
        <v>1</v>
      </c>
      <c r="J99" s="12">
        <v>1</v>
      </c>
      <c r="K99" s="12">
        <v>1</v>
      </c>
      <c r="L99" s="12">
        <v>1</v>
      </c>
      <c r="M99" s="12">
        <v>1</v>
      </c>
      <c r="N99" s="12">
        <v>1</v>
      </c>
      <c r="O99" s="12">
        <v>1</v>
      </c>
      <c r="P99" s="12">
        <v>1</v>
      </c>
      <c r="Q99" s="12">
        <v>1</v>
      </c>
      <c r="R99" s="12">
        <v>1</v>
      </c>
      <c r="S99" s="12">
        <v>1</v>
      </c>
      <c r="T99" s="12">
        <v>1</v>
      </c>
      <c r="U99" s="12">
        <v>1</v>
      </c>
      <c r="V99" s="12">
        <v>1</v>
      </c>
      <c r="W99" s="18">
        <v>0</v>
      </c>
      <c r="X99" s="39">
        <v>0</v>
      </c>
      <c r="Y99" s="39">
        <v>0</v>
      </c>
    </row>
    <row r="100" spans="1:25" ht="19.95" customHeight="1" x14ac:dyDescent="0.3">
      <c r="A100" s="58"/>
      <c r="B100" s="64"/>
      <c r="C100" s="41" t="s">
        <v>192</v>
      </c>
      <c r="D100" s="45" t="s">
        <v>49</v>
      </c>
      <c r="E100" s="12">
        <v>1</v>
      </c>
      <c r="F100" s="12">
        <v>1</v>
      </c>
      <c r="G100" s="12">
        <v>1</v>
      </c>
      <c r="H100" s="12">
        <v>1</v>
      </c>
      <c r="I100" s="12">
        <v>1</v>
      </c>
      <c r="J100" s="12">
        <v>1</v>
      </c>
      <c r="K100" s="12">
        <v>1</v>
      </c>
      <c r="L100" s="12">
        <v>1</v>
      </c>
      <c r="M100" s="12">
        <v>1</v>
      </c>
      <c r="N100" s="12">
        <v>1</v>
      </c>
      <c r="O100" s="12">
        <v>1</v>
      </c>
      <c r="P100" s="12">
        <v>1</v>
      </c>
      <c r="Q100" s="12">
        <v>1</v>
      </c>
      <c r="R100" s="12">
        <v>1</v>
      </c>
      <c r="S100" s="12">
        <v>1</v>
      </c>
      <c r="T100" s="12">
        <v>1</v>
      </c>
      <c r="U100" s="12">
        <v>1</v>
      </c>
      <c r="V100" s="12">
        <v>1</v>
      </c>
      <c r="W100" s="18">
        <v>0</v>
      </c>
      <c r="X100" s="39">
        <v>0</v>
      </c>
      <c r="Y100" s="39">
        <v>0</v>
      </c>
    </row>
    <row r="101" spans="1:25" ht="19.95" customHeight="1" x14ac:dyDescent="0.3">
      <c r="A101" s="58"/>
      <c r="B101" s="64"/>
      <c r="C101" s="41" t="s">
        <v>193</v>
      </c>
      <c r="D101" s="45" t="s">
        <v>50</v>
      </c>
      <c r="E101" s="12">
        <v>1</v>
      </c>
      <c r="F101" s="12">
        <v>1</v>
      </c>
      <c r="G101" s="12">
        <v>1</v>
      </c>
      <c r="H101" s="12">
        <v>1</v>
      </c>
      <c r="I101" s="12">
        <v>1</v>
      </c>
      <c r="J101" s="12">
        <v>1</v>
      </c>
      <c r="K101" s="12">
        <v>1</v>
      </c>
      <c r="L101" s="12">
        <v>1</v>
      </c>
      <c r="M101" s="12">
        <v>1</v>
      </c>
      <c r="N101" s="12">
        <v>1</v>
      </c>
      <c r="O101" s="12">
        <v>1</v>
      </c>
      <c r="P101" s="12">
        <v>1</v>
      </c>
      <c r="Q101" s="12">
        <v>1</v>
      </c>
      <c r="R101" s="12">
        <v>1</v>
      </c>
      <c r="S101" s="12">
        <v>1</v>
      </c>
      <c r="T101" s="12">
        <v>1</v>
      </c>
      <c r="U101" s="12">
        <v>1</v>
      </c>
      <c r="V101" s="12">
        <v>1</v>
      </c>
      <c r="W101" s="12">
        <v>1</v>
      </c>
      <c r="X101" s="18">
        <v>0</v>
      </c>
      <c r="Y101" s="39">
        <v>0</v>
      </c>
    </row>
    <row r="102" spans="1:25" ht="19.95" customHeight="1" x14ac:dyDescent="0.3">
      <c r="A102" s="58"/>
      <c r="B102" s="64"/>
      <c r="C102" s="41" t="s">
        <v>194</v>
      </c>
      <c r="D102" s="45" t="s">
        <v>50</v>
      </c>
      <c r="E102" s="12">
        <v>1</v>
      </c>
      <c r="F102" s="12">
        <v>1</v>
      </c>
      <c r="G102" s="12">
        <v>1</v>
      </c>
      <c r="H102" s="12">
        <v>1</v>
      </c>
      <c r="I102" s="12">
        <v>1</v>
      </c>
      <c r="J102" s="12">
        <v>1</v>
      </c>
      <c r="K102" s="12">
        <v>1</v>
      </c>
      <c r="L102" s="12">
        <v>1</v>
      </c>
      <c r="M102" s="12">
        <v>1</v>
      </c>
      <c r="N102" s="12">
        <v>1</v>
      </c>
      <c r="O102" s="12">
        <v>1</v>
      </c>
      <c r="P102" s="12">
        <v>1</v>
      </c>
      <c r="Q102" s="12">
        <v>1</v>
      </c>
      <c r="R102" s="12">
        <v>1</v>
      </c>
      <c r="S102" s="12">
        <v>1</v>
      </c>
      <c r="T102" s="12">
        <v>1</v>
      </c>
      <c r="U102" s="12">
        <v>1</v>
      </c>
      <c r="V102" s="12">
        <v>1</v>
      </c>
      <c r="W102" s="12">
        <v>1</v>
      </c>
      <c r="X102" s="18">
        <v>0</v>
      </c>
      <c r="Y102" s="39">
        <v>0</v>
      </c>
    </row>
    <row r="103" spans="1:25" ht="19.95" customHeight="1" x14ac:dyDescent="0.3">
      <c r="A103" s="58"/>
      <c r="B103" s="64"/>
      <c r="C103" s="41" t="s">
        <v>195</v>
      </c>
      <c r="D103" s="45" t="s">
        <v>22</v>
      </c>
      <c r="E103" s="12">
        <v>0.5</v>
      </c>
      <c r="F103" s="12">
        <v>0.5</v>
      </c>
      <c r="G103" s="12">
        <v>0.5</v>
      </c>
      <c r="H103" s="12">
        <v>0.5</v>
      </c>
      <c r="I103" s="12">
        <v>0.5</v>
      </c>
      <c r="J103" s="12">
        <v>0.5</v>
      </c>
      <c r="K103" s="12">
        <v>0.5</v>
      </c>
      <c r="L103" s="12">
        <v>0.5</v>
      </c>
      <c r="M103" s="12">
        <v>0.5</v>
      </c>
      <c r="N103" s="12">
        <v>0.5</v>
      </c>
      <c r="O103" s="12">
        <v>0.5</v>
      </c>
      <c r="P103" s="12">
        <v>0.5</v>
      </c>
      <c r="Q103" s="12">
        <v>0.5</v>
      </c>
      <c r="R103" s="12">
        <v>0.5</v>
      </c>
      <c r="S103" s="12">
        <v>0.5</v>
      </c>
      <c r="T103" s="12">
        <v>0.5</v>
      </c>
      <c r="U103" s="12">
        <v>0.5</v>
      </c>
      <c r="V103" s="12">
        <v>0.5</v>
      </c>
      <c r="W103" s="12">
        <v>0.5</v>
      </c>
      <c r="X103" s="18">
        <v>0</v>
      </c>
      <c r="Y103" s="39">
        <v>0</v>
      </c>
    </row>
    <row r="104" spans="1:25" ht="19.95" customHeight="1" x14ac:dyDescent="0.3">
      <c r="A104" s="58"/>
      <c r="B104" s="64"/>
      <c r="C104" s="41" t="s">
        <v>196</v>
      </c>
      <c r="D104" s="45" t="s">
        <v>22</v>
      </c>
      <c r="E104" s="12">
        <v>0.5</v>
      </c>
      <c r="F104" s="12">
        <v>0.5</v>
      </c>
      <c r="G104" s="12">
        <v>0.5</v>
      </c>
      <c r="H104" s="12">
        <v>0.5</v>
      </c>
      <c r="I104" s="12">
        <v>0.5</v>
      </c>
      <c r="J104" s="12">
        <v>0.5</v>
      </c>
      <c r="K104" s="12">
        <v>0.5</v>
      </c>
      <c r="L104" s="12">
        <v>0.5</v>
      </c>
      <c r="M104" s="12">
        <v>0.5</v>
      </c>
      <c r="N104" s="12">
        <v>0.5</v>
      </c>
      <c r="O104" s="12">
        <v>0.5</v>
      </c>
      <c r="P104" s="12">
        <v>0.5</v>
      </c>
      <c r="Q104" s="12">
        <v>0.5</v>
      </c>
      <c r="R104" s="12">
        <v>0.5</v>
      </c>
      <c r="S104" s="12">
        <v>0.5</v>
      </c>
      <c r="T104" s="12">
        <v>0.5</v>
      </c>
      <c r="U104" s="12">
        <v>0.5</v>
      </c>
      <c r="V104" s="12">
        <v>0.5</v>
      </c>
      <c r="W104" s="12">
        <v>0.5</v>
      </c>
      <c r="X104" s="18">
        <v>0</v>
      </c>
      <c r="Y104" s="39">
        <v>0</v>
      </c>
    </row>
    <row r="105" spans="1:25" ht="19.95" customHeight="1" x14ac:dyDescent="0.3">
      <c r="A105" s="58"/>
      <c r="B105" s="64"/>
      <c r="C105" s="41" t="s">
        <v>197</v>
      </c>
      <c r="D105" s="45" t="s">
        <v>49</v>
      </c>
      <c r="E105" s="12">
        <v>1</v>
      </c>
      <c r="F105" s="12">
        <v>1</v>
      </c>
      <c r="G105" s="12">
        <v>1</v>
      </c>
      <c r="H105" s="12">
        <v>1</v>
      </c>
      <c r="I105" s="12">
        <v>1</v>
      </c>
      <c r="J105" s="12">
        <v>1</v>
      </c>
      <c r="K105" s="12">
        <v>1</v>
      </c>
      <c r="L105" s="12">
        <v>1</v>
      </c>
      <c r="M105" s="12">
        <v>1</v>
      </c>
      <c r="N105" s="12">
        <v>1</v>
      </c>
      <c r="O105" s="12">
        <v>1</v>
      </c>
      <c r="P105" s="12">
        <v>1</v>
      </c>
      <c r="Q105" s="12">
        <v>1</v>
      </c>
      <c r="R105" s="12">
        <v>1</v>
      </c>
      <c r="S105" s="12">
        <v>1</v>
      </c>
      <c r="T105" s="12">
        <v>1</v>
      </c>
      <c r="U105" s="12">
        <v>1</v>
      </c>
      <c r="V105" s="12">
        <v>1</v>
      </c>
      <c r="W105" s="12">
        <v>1</v>
      </c>
      <c r="X105" s="18">
        <v>0</v>
      </c>
      <c r="Y105" s="39">
        <v>0</v>
      </c>
    </row>
    <row r="106" spans="1:25" ht="19.95" customHeight="1" x14ac:dyDescent="0.3">
      <c r="A106" s="58"/>
      <c r="B106" s="65" t="s">
        <v>13</v>
      </c>
      <c r="C106" s="15" t="s">
        <v>47</v>
      </c>
      <c r="D106" s="45" t="s">
        <v>50</v>
      </c>
      <c r="E106" s="55">
        <v>5</v>
      </c>
      <c r="F106" s="55">
        <v>5</v>
      </c>
      <c r="G106" s="55">
        <v>5</v>
      </c>
      <c r="H106" s="55">
        <v>5</v>
      </c>
      <c r="I106" s="55">
        <v>5</v>
      </c>
      <c r="J106" s="55">
        <v>5</v>
      </c>
      <c r="K106" s="55">
        <v>5</v>
      </c>
      <c r="L106" s="55">
        <v>5</v>
      </c>
      <c r="M106" s="55">
        <v>5</v>
      </c>
      <c r="N106" s="55">
        <v>5</v>
      </c>
      <c r="O106" s="55">
        <v>5</v>
      </c>
      <c r="P106" s="55">
        <v>5</v>
      </c>
      <c r="Q106" s="55">
        <v>5</v>
      </c>
      <c r="R106" s="55">
        <v>5</v>
      </c>
      <c r="S106" s="55">
        <v>5</v>
      </c>
      <c r="T106" s="55">
        <v>5</v>
      </c>
      <c r="U106" s="55">
        <v>5</v>
      </c>
      <c r="V106" s="55">
        <v>5</v>
      </c>
      <c r="W106" s="55">
        <v>5</v>
      </c>
      <c r="X106" s="55">
        <v>5</v>
      </c>
      <c r="Y106" s="18">
        <v>0</v>
      </c>
    </row>
    <row r="107" spans="1:25" ht="19.95" customHeight="1" x14ac:dyDescent="0.3">
      <c r="A107" s="58"/>
      <c r="B107" s="66"/>
      <c r="C107" s="36" t="s">
        <v>48</v>
      </c>
      <c r="D107" s="4" t="s">
        <v>17</v>
      </c>
      <c r="E107" s="44">
        <v>5</v>
      </c>
      <c r="F107" s="44">
        <v>5</v>
      </c>
      <c r="G107" s="44">
        <v>5</v>
      </c>
      <c r="H107" s="44">
        <v>5</v>
      </c>
      <c r="I107" s="44">
        <v>5</v>
      </c>
      <c r="J107" s="44">
        <v>5</v>
      </c>
      <c r="K107" s="44">
        <v>5</v>
      </c>
      <c r="L107" s="44">
        <v>5</v>
      </c>
      <c r="M107" s="44">
        <v>5</v>
      </c>
      <c r="N107" s="44">
        <v>5</v>
      </c>
      <c r="O107" s="44">
        <v>5</v>
      </c>
      <c r="P107" s="44">
        <v>5</v>
      </c>
      <c r="Q107" s="44">
        <v>5</v>
      </c>
      <c r="R107" s="44">
        <v>5</v>
      </c>
      <c r="S107" s="44">
        <v>5</v>
      </c>
      <c r="T107" s="44">
        <v>5</v>
      </c>
      <c r="U107" s="44">
        <v>5</v>
      </c>
      <c r="V107" s="44">
        <v>5</v>
      </c>
      <c r="W107" s="44">
        <v>5</v>
      </c>
      <c r="X107" s="44">
        <v>5</v>
      </c>
      <c r="Y107" s="18">
        <v>0</v>
      </c>
    </row>
    <row r="108" spans="1:25" ht="19.95" customHeight="1" x14ac:dyDescent="0.3">
      <c r="A108" s="58"/>
      <c r="B108" s="67" t="s">
        <v>10</v>
      </c>
      <c r="C108" s="67"/>
      <c r="D108" s="68" t="s">
        <v>9</v>
      </c>
      <c r="E108" s="69"/>
      <c r="F108" s="46">
        <f>SUM(E17:E107)</f>
        <v>192</v>
      </c>
      <c r="G108" s="46">
        <f t="shared" ref="G108:M108" si="0">SUM(G17:G107)</f>
        <v>173</v>
      </c>
      <c r="H108" s="46">
        <f t="shared" si="0"/>
        <v>169</v>
      </c>
      <c r="I108" s="46">
        <f t="shared" si="0"/>
        <v>165</v>
      </c>
      <c r="J108" s="46">
        <f t="shared" si="0"/>
        <v>155</v>
      </c>
      <c r="K108" s="46">
        <f t="shared" si="0"/>
        <v>135</v>
      </c>
      <c r="L108" s="46">
        <f t="shared" si="0"/>
        <v>127</v>
      </c>
      <c r="M108" s="46">
        <f t="shared" si="0"/>
        <v>105</v>
      </c>
      <c r="N108" s="46">
        <f>SUM(N17:N107)-N49-N49</f>
        <v>94</v>
      </c>
      <c r="O108" s="46">
        <f>SUM(O17:O107)-O53-O53</f>
        <v>88</v>
      </c>
      <c r="P108" s="46">
        <f>SUM(P17:P107)</f>
        <v>71</v>
      </c>
      <c r="Q108" s="46">
        <f>SUM(Q17:Q107)-Q69-Q67-Q59-Q69-Q67-Q59</f>
        <v>54</v>
      </c>
      <c r="R108" s="46">
        <f t="shared" ref="R108:Y108" si="1">SUM(R17:R107)</f>
        <v>52</v>
      </c>
      <c r="S108" s="46">
        <f t="shared" si="1"/>
        <v>42</v>
      </c>
      <c r="T108" s="46">
        <f t="shared" si="1"/>
        <v>30</v>
      </c>
      <c r="U108" s="46">
        <f t="shared" si="1"/>
        <v>24</v>
      </c>
      <c r="V108" s="46">
        <f t="shared" si="1"/>
        <v>20</v>
      </c>
      <c r="W108" s="46">
        <f t="shared" si="1"/>
        <v>14</v>
      </c>
      <c r="X108" s="46">
        <f t="shared" si="1"/>
        <v>10</v>
      </c>
      <c r="Y108" s="46">
        <f t="shared" si="1"/>
        <v>0</v>
      </c>
    </row>
    <row r="109" spans="1:25" ht="19.95" customHeight="1" x14ac:dyDescent="0.3">
      <c r="A109" s="58"/>
      <c r="B109" s="67"/>
      <c r="C109" s="67"/>
      <c r="D109" s="68" t="s">
        <v>18</v>
      </c>
      <c r="E109" s="68"/>
      <c r="F109" s="13">
        <f>SUM(F17:F107)</f>
        <v>183</v>
      </c>
      <c r="G109" s="13">
        <f t="shared" ref="G109:Y109" si="2">SUM(G17:G107)</f>
        <v>173</v>
      </c>
      <c r="H109" s="13">
        <f t="shared" si="2"/>
        <v>169</v>
      </c>
      <c r="I109" s="13">
        <f t="shared" si="2"/>
        <v>165</v>
      </c>
      <c r="J109" s="13">
        <f>SUM(J17:J107)-J21-J25</f>
        <v>153</v>
      </c>
      <c r="K109" s="13">
        <f t="shared" si="2"/>
        <v>135</v>
      </c>
      <c r="L109" s="13">
        <f>SUM(L17:L107)-L36-L39</f>
        <v>124</v>
      </c>
      <c r="M109" s="13">
        <f t="shared" si="2"/>
        <v>105</v>
      </c>
      <c r="N109" s="13">
        <f>SUM(N17:N107)-N49-N47</f>
        <v>95</v>
      </c>
      <c r="O109" s="13">
        <f>SUM(O17:O107)-O62-O53</f>
        <v>84</v>
      </c>
      <c r="P109" s="13">
        <f>SUM(P17:P107)-P64</f>
        <v>69</v>
      </c>
      <c r="Q109" s="13">
        <f>SUM(Q17:Q107)-Q69-Q67-Q59</f>
        <v>57</v>
      </c>
      <c r="R109" s="13">
        <f t="shared" si="2"/>
        <v>52</v>
      </c>
      <c r="S109" s="13">
        <f>SUM(S17:S107)-S73</f>
        <v>40</v>
      </c>
      <c r="T109" s="13">
        <f t="shared" si="2"/>
        <v>30</v>
      </c>
      <c r="U109" s="13">
        <f t="shared" si="2"/>
        <v>24</v>
      </c>
      <c r="V109" s="13">
        <f t="shared" si="2"/>
        <v>20</v>
      </c>
      <c r="W109" s="13">
        <f t="shared" si="2"/>
        <v>14</v>
      </c>
      <c r="X109" s="13">
        <f t="shared" si="2"/>
        <v>10</v>
      </c>
      <c r="Y109" s="13">
        <f t="shared" si="2"/>
        <v>0</v>
      </c>
    </row>
    <row r="110" spans="1:25" ht="19.95" customHeight="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V110" s="1"/>
    </row>
    <row r="111" spans="1:25" ht="19.95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V111" s="1"/>
    </row>
    <row r="112" spans="1:25" ht="19.95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1:18" ht="19.95" customHeigh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1:18" ht="19.95" customHeigh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1:18" ht="19.9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spans="1:18" ht="19.9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1:18" ht="19.9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1:18" ht="19.9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1:18" ht="19.9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spans="1:18" ht="19.95" customHeigh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18" ht="19.95" customHeigh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18" ht="19.9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18" ht="19.9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1:18" ht="19.9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18" ht="19.9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1:18" ht="19.9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18" ht="19.9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1:18" ht="19.9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1:18" ht="19.9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1:18" ht="19.9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1:18" ht="19.9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spans="1:18" ht="19.9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1:18" ht="19.9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spans="1:18" ht="19.9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1:18" ht="19.9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spans="1:18" ht="19.9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1:18" ht="19.9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spans="1:18" ht="19.9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1:18" ht="19.9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1:18" ht="19.9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1:18" ht="19.9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1:18" ht="19.9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1:18" ht="19.9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spans="1:18" ht="19.9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spans="1:18" ht="19.9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spans="1:18" ht="19.9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spans="1:18" ht="19.9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spans="1:18" ht="19.95" customHeight="1" x14ac:dyDescent="0.3">
      <c r="A148" s="1"/>
      <c r="B148" s="1"/>
      <c r="C148" s="1"/>
      <c r="D148" s="1"/>
      <c r="E148" s="1"/>
      <c r="F148" s="1"/>
      <c r="G148" s="1"/>
      <c r="H148" s="1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spans="1:18" ht="19.95" customHeight="1" x14ac:dyDescent="0.3">
      <c r="A149" s="1"/>
      <c r="B149" s="1"/>
      <c r="C149" s="1"/>
      <c r="D149" s="1"/>
      <c r="E149" s="1"/>
      <c r="F149" s="1"/>
      <c r="G149" s="1"/>
      <c r="H149" s="1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 spans="1:18" ht="19.95" customHeight="1" x14ac:dyDescent="0.3">
      <c r="A150" s="1"/>
      <c r="B150" s="1"/>
      <c r="C150" s="1"/>
      <c r="D150" s="1"/>
      <c r="E150" s="1"/>
      <c r="F150" s="1"/>
      <c r="G150" s="1"/>
      <c r="H150" s="1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spans="1:18" ht="19.95" customHeight="1" x14ac:dyDescent="0.3">
      <c r="A151" s="1"/>
      <c r="B151" s="1"/>
      <c r="C151" s="1"/>
      <c r="D151" s="1"/>
      <c r="E151" s="1"/>
      <c r="F151" s="1"/>
      <c r="G151" s="1"/>
      <c r="H151" s="1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 spans="1:18" ht="19.95" customHeight="1" x14ac:dyDescent="0.3">
      <c r="A152" s="1"/>
      <c r="B152" s="1"/>
      <c r="C152" s="1"/>
      <c r="D152" s="1"/>
      <c r="E152" s="1"/>
      <c r="F152" s="1"/>
      <c r="G152" s="1"/>
      <c r="H152" s="1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spans="1:18" ht="19.95" customHeight="1" x14ac:dyDescent="0.3">
      <c r="A153" s="1"/>
      <c r="B153" s="1"/>
      <c r="C153" s="1"/>
      <c r="D153" s="1"/>
      <c r="E153" s="1"/>
      <c r="F153" s="1"/>
      <c r="G153" s="1"/>
      <c r="H153" s="1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 spans="1:18" ht="19.95" customHeight="1" x14ac:dyDescent="0.3">
      <c r="A154" s="1"/>
      <c r="B154" s="1"/>
      <c r="C154" s="1"/>
      <c r="D154" s="1"/>
      <c r="E154" s="1"/>
      <c r="F154" s="1"/>
      <c r="G154" s="1"/>
      <c r="H154" s="1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spans="1:18" ht="19.95" customHeight="1" x14ac:dyDescent="0.3">
      <c r="A155" s="1"/>
      <c r="B155" s="1"/>
      <c r="C155" s="1"/>
      <c r="D155" s="1"/>
      <c r="E155" s="1"/>
      <c r="F155" s="1"/>
      <c r="G155" s="1"/>
      <c r="H155" s="1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 spans="1:18" ht="19.95" customHeight="1" x14ac:dyDescent="0.3">
      <c r="A156" s="1"/>
      <c r="B156" s="1"/>
      <c r="C156" s="1"/>
      <c r="D156" s="1"/>
      <c r="E156" s="1"/>
      <c r="F156" s="1"/>
      <c r="G156" s="1"/>
      <c r="H156" s="1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1:18" ht="19.95" customHeight="1" x14ac:dyDescent="0.3">
      <c r="A157" s="1"/>
      <c r="B157" s="1"/>
      <c r="C157" s="1"/>
      <c r="D157" s="1"/>
      <c r="E157" s="1"/>
      <c r="F157" s="1"/>
      <c r="G157" s="1"/>
      <c r="H157" s="1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 spans="1:18" ht="19.95" customHeight="1" x14ac:dyDescent="0.3">
      <c r="A158" s="1"/>
      <c r="B158" s="1"/>
      <c r="C158" s="1"/>
      <c r="D158" s="1"/>
      <c r="E158" s="1"/>
      <c r="F158" s="1"/>
      <c r="G158" s="1"/>
      <c r="H158" s="1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1:18" ht="19.95" customHeight="1" x14ac:dyDescent="0.3">
      <c r="A159" s="1"/>
      <c r="B159" s="1"/>
      <c r="C159" s="1"/>
      <c r="D159" s="1"/>
      <c r="E159" s="1"/>
      <c r="F159" s="1"/>
      <c r="G159" s="1"/>
      <c r="H159" s="1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spans="1:18" ht="19.95" customHeight="1" x14ac:dyDescent="0.3">
      <c r="A160" s="1"/>
      <c r="B160" s="1"/>
      <c r="C160" s="1"/>
      <c r="D160" s="1"/>
      <c r="E160" s="1"/>
      <c r="F160" s="1"/>
      <c r="G160" s="1"/>
      <c r="H160" s="1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1:18" ht="19.95" customHeight="1" x14ac:dyDescent="0.3">
      <c r="A161" s="1"/>
      <c r="B161" s="1"/>
      <c r="C161" s="1"/>
      <c r="D161" s="1"/>
      <c r="E161" s="1"/>
      <c r="F161" s="1"/>
      <c r="G161" s="1"/>
      <c r="H161" s="1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spans="1:18" ht="19.95" customHeight="1" x14ac:dyDescent="0.3">
      <c r="A162" s="1"/>
      <c r="B162" s="1"/>
      <c r="C162" s="1"/>
      <c r="D162" s="1"/>
      <c r="E162" s="1"/>
      <c r="F162" s="1"/>
      <c r="G162" s="1"/>
      <c r="H162" s="1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1:18" ht="19.95" customHeight="1" x14ac:dyDescent="0.3">
      <c r="A163" s="1"/>
      <c r="B163" s="1"/>
      <c r="C163" s="1"/>
      <c r="D163" s="1"/>
      <c r="E163" s="1"/>
      <c r="F163" s="1"/>
      <c r="G163" s="1"/>
      <c r="H163" s="1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spans="1:18" ht="19.95" customHeight="1" x14ac:dyDescent="0.3">
      <c r="A164" s="1"/>
      <c r="B164" s="1"/>
      <c r="C164" s="1"/>
      <c r="D164" s="1"/>
      <c r="E164" s="1"/>
      <c r="F164" s="1"/>
      <c r="G164" s="1"/>
      <c r="H164" s="1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spans="1:18" ht="19.95" customHeight="1" x14ac:dyDescent="0.3">
      <c r="A165" s="1"/>
      <c r="B165" s="1"/>
      <c r="C165" s="1"/>
      <c r="D165" s="1"/>
      <c r="E165" s="1"/>
      <c r="F165" s="1"/>
      <c r="G165" s="1"/>
      <c r="H165" s="1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spans="1:18" ht="19.95" customHeight="1" x14ac:dyDescent="0.3">
      <c r="A166" s="1"/>
      <c r="B166" s="1"/>
      <c r="C166" s="1"/>
      <c r="D166" s="1"/>
      <c r="E166" s="1"/>
      <c r="F166" s="1"/>
      <c r="G166" s="1"/>
      <c r="H166" s="1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spans="1:18" ht="19.95" customHeight="1" x14ac:dyDescent="0.3">
      <c r="A167" s="1"/>
      <c r="B167" s="1"/>
      <c r="C167" s="1"/>
      <c r="D167" s="1"/>
      <c r="E167" s="1"/>
      <c r="F167" s="1"/>
      <c r="G167" s="1"/>
      <c r="H167" s="1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 spans="1:18" ht="19.95" customHeight="1" x14ac:dyDescent="0.3">
      <c r="A168" s="1"/>
      <c r="B168" s="1"/>
      <c r="C168" s="1"/>
      <c r="D168" s="1"/>
      <c r="E168" s="1"/>
      <c r="F168" s="1"/>
      <c r="G168" s="1"/>
      <c r="H168" s="1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spans="1:18" ht="19.95" customHeight="1" x14ac:dyDescent="0.3">
      <c r="A169" s="1"/>
      <c r="B169" s="1"/>
      <c r="C169" s="1"/>
      <c r="D169" s="1"/>
      <c r="E169" s="1"/>
      <c r="F169" s="1"/>
      <c r="G169" s="1"/>
      <c r="H169" s="1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 spans="1:18" ht="19.95" customHeight="1" x14ac:dyDescent="0.3">
      <c r="A170" s="1"/>
      <c r="B170" s="1"/>
      <c r="C170" s="1"/>
      <c r="D170" s="1"/>
      <c r="E170" s="1"/>
      <c r="F170" s="1"/>
      <c r="G170" s="1"/>
      <c r="H170" s="1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spans="1:18" ht="19.95" customHeight="1" x14ac:dyDescent="0.3">
      <c r="A171" s="1"/>
      <c r="B171" s="1"/>
      <c r="C171" s="1"/>
      <c r="D171" s="1"/>
      <c r="E171" s="1"/>
      <c r="F171" s="1"/>
      <c r="G171" s="1"/>
      <c r="H171" s="1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 spans="1:18" ht="19.95" customHeight="1" x14ac:dyDescent="0.3">
      <c r="A172" s="1"/>
      <c r="B172" s="1"/>
      <c r="C172" s="1"/>
      <c r="D172" s="1"/>
      <c r="E172" s="1"/>
      <c r="F172" s="1"/>
      <c r="G172" s="1"/>
      <c r="H172" s="1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spans="1:18" ht="19.95" customHeight="1" x14ac:dyDescent="0.3">
      <c r="A173" s="1"/>
      <c r="B173" s="1"/>
      <c r="C173" s="1"/>
      <c r="D173" s="1"/>
      <c r="E173" s="1"/>
      <c r="F173" s="1"/>
      <c r="G173" s="1"/>
      <c r="H173" s="1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 spans="1:18" ht="19.95" customHeight="1" x14ac:dyDescent="0.3">
      <c r="A174" s="1"/>
      <c r="B174" s="1"/>
      <c r="C174" s="1"/>
      <c r="D174" s="1"/>
      <c r="E174" s="1"/>
      <c r="F174" s="1"/>
      <c r="G174" s="1"/>
      <c r="H174" s="1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spans="1:18" ht="19.95" customHeight="1" x14ac:dyDescent="0.3">
      <c r="A175" s="1"/>
      <c r="B175" s="1"/>
      <c r="C175" s="1"/>
      <c r="D175" s="1"/>
      <c r="E175" s="1"/>
      <c r="F175" s="1"/>
      <c r="G175" s="1"/>
      <c r="H175" s="1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 spans="1:18" ht="19.95" customHeight="1" x14ac:dyDescent="0.3">
      <c r="A176" s="1"/>
      <c r="B176" s="1"/>
      <c r="C176" s="1"/>
      <c r="D176" s="1"/>
      <c r="E176" s="1"/>
      <c r="F176" s="1"/>
      <c r="G176" s="1"/>
      <c r="H176" s="1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spans="1:29" ht="19.95" customHeight="1" x14ac:dyDescent="0.3">
      <c r="A177" s="1"/>
      <c r="B177" s="1"/>
      <c r="C177" s="1"/>
      <c r="D177" s="1"/>
      <c r="E177" s="1"/>
      <c r="F177" s="1"/>
      <c r="G177" s="1"/>
      <c r="H177" s="1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spans="1:29" ht="19.95" customHeight="1" x14ac:dyDescent="0.3">
      <c r="A178" s="1"/>
      <c r="B178" s="1"/>
      <c r="C178" s="1"/>
      <c r="D178" s="1"/>
      <c r="E178" s="1"/>
      <c r="F178" s="1"/>
      <c r="G178" s="1"/>
      <c r="H178" s="1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1:29" ht="19.95" customHeight="1" x14ac:dyDescent="0.3">
      <c r="A179" s="1"/>
      <c r="B179" s="1"/>
      <c r="C179" s="1"/>
      <c r="D179" s="1"/>
      <c r="E179" s="1"/>
      <c r="F179" s="1"/>
      <c r="G179" s="1"/>
      <c r="H179" s="1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spans="1:29" ht="19.95" customHeight="1" x14ac:dyDescent="0.3">
      <c r="A180" s="1"/>
      <c r="B180" s="1"/>
      <c r="C180" s="1"/>
      <c r="D180" s="1"/>
      <c r="E180" s="1"/>
      <c r="F180" s="1"/>
      <c r="G180" s="1"/>
      <c r="H180" s="1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 spans="1:29" ht="19.95" customHeight="1" x14ac:dyDescent="0.3">
      <c r="A181" s="1"/>
      <c r="B181" s="1"/>
      <c r="C181" s="1"/>
      <c r="D181" s="1"/>
      <c r="E181" s="1"/>
      <c r="F181" s="1"/>
      <c r="G181" s="1"/>
      <c r="H181" s="1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 spans="1:29" ht="19.9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spans="1:29" ht="19.9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spans="1:29" ht="19.9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spans="1:29" ht="19.9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spans="1:29" ht="19.9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spans="1:29" ht="19.9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spans="1:29" ht="19.9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spans="1:29" ht="19.9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spans="1:29" ht="19.9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spans="1:29" ht="19.9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spans="1:29" ht="19.9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spans="1:29" ht="19.9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spans="1:29" ht="19.9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1:29" ht="19.9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1:29" ht="19.9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1:29" ht="19.9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1:29" ht="19.9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1:29" ht="19.9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1:29" ht="19.9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1:29" ht="19.9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1:29" ht="19.9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1:29" ht="19.9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1:29" ht="19.9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1:29" ht="19.9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spans="1:29" ht="19.9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1:29" ht="19.9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spans="1:29" ht="19.9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1:29" ht="19.9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1:29" ht="19.9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1:29" ht="19.9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1:29" ht="19.9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1:29" ht="19.9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1:29" ht="19.9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1:29" ht="19.9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spans="1:29" ht="19.9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29" ht="19.9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spans="1:29" ht="19.9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1:29" ht="19.9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1:29" ht="19.9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1:29" ht="19.9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1:29" ht="19.9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1:29" ht="19.9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1:29" ht="19.9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1:29" ht="19.9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1:29" ht="19.9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1:29" ht="19.9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1:29" ht="19.9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1:29" ht="19.9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1:29" ht="19.9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1:29" ht="19.9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spans="1:29" ht="19.9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1:29" ht="19.9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spans="1:29" ht="19.9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1:29" ht="19.9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1:29" ht="19.9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1:29" ht="19.9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1:29" ht="19.9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1:29" ht="19.9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1:29" ht="19.9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1:29" ht="19.9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1:29" ht="19.9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1:29" ht="19.9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1:29" ht="19.9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1:29" ht="19.9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1:29" ht="19.9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1:29" ht="19.9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1:29" ht="19.9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1:29" ht="19.9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1:29" ht="19.9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1:29" ht="19.9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1:29" ht="19.9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1:29" ht="19.9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1:29" ht="19.9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1:29" ht="19.9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1:29" ht="19.9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1:29" ht="19.9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1:29" ht="19.9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1:29" ht="19.9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1:29" ht="19.9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1:29" ht="19.9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1:29" ht="19.9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1:29" ht="19.9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1:29" ht="19.9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1:29" ht="19.9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1:29" ht="19.9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1:29" ht="19.9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1:29" ht="19.9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1:29" ht="19.9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1:29" ht="19.9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1:29" ht="19.9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1:29" ht="19.9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1:29" ht="19.9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1:29" ht="19.9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1:29" ht="19.9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1:29" ht="19.9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1:29" ht="19.9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1:29" ht="19.9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1:29" ht="19.9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1:29" ht="19.9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1:29" ht="19.9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1:29" ht="19.9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1:29" ht="19.9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1:29" ht="19.9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1:29" ht="19.9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1:29" ht="19.9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1:29" ht="19.9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1:29" ht="19.9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1:29" ht="19.9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1:29" ht="19.9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1:29" ht="19.9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1:29" ht="19.9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1:29" ht="19.9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1:29" ht="19.9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1:29" ht="19.9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1:29" ht="19.9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1:29" ht="19.9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1:29" ht="19.9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1:29" ht="19.9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1:29" ht="19.9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1:29" ht="19.9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1:29" ht="19.9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1:29" ht="19.9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1:29" ht="19.9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1:29" ht="19.9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1:29" ht="19.9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1:29" ht="19.9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1:29" ht="19.9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1:29" ht="19.9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1:29" ht="19.9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1:29" ht="19.9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1:29" ht="19.9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1:29" ht="19.9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1:29" ht="19.9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1:29" ht="19.9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1:29" ht="19.9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1:29" ht="19.9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1:29" ht="19.9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1:29" ht="19.9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1:29" ht="19.9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1:29" ht="19.9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1:29" ht="19.9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1:29" ht="19.9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1:29" ht="19.9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1:29" ht="19.9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1:29" ht="19.9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1:29" ht="19.9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1:29" ht="19.9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1:29" ht="19.9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1:29" ht="19.9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1:29" ht="19.9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1:29" ht="19.9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1:29" ht="19.9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1:29" ht="19.9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1:29" ht="19.9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1:29" ht="19.9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1:29" ht="19.9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1:29" ht="19.9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1:29" ht="19.9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1:29" ht="19.9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1:29" ht="19.9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1:29" ht="19.9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1:29" ht="19.9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1:29" ht="19.9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1:29" ht="19.9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1:29" ht="19.9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1:29" ht="19.9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1:29" ht="19.9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1:29" ht="19.9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1:29" ht="19.9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1:29" ht="19.9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1:29" ht="19.9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1:29" ht="19.9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1:29" ht="19.9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1:29" ht="19.9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1:29" ht="19.9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1:29" ht="19.9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1:29" ht="19.9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1:29" ht="19.9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1:29" ht="19.9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1:29" ht="19.9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1:29" ht="19.9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:29" ht="19.9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1:29" ht="19.9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1:29" ht="19.9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1:29" ht="19.9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spans="1:29" ht="19.9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spans="1:29" ht="19.9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spans="1:29" ht="19.9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spans="1:29" ht="19.9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spans="1:29" ht="19.9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spans="1:29" ht="19.9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spans="1:29" ht="19.9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spans="1:29" ht="19.9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spans="1:29" ht="19.9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spans="1:29" ht="19.9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spans="1:29" ht="19.9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spans="1:29" ht="19.9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spans="1:29" ht="19.9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spans="1:29" ht="19.9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spans="1:29" ht="19.9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spans="1:29" ht="19.9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spans="1:29" ht="19.9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spans="1:29" ht="19.9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spans="1:29" ht="19.9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spans="1:29" ht="19.9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spans="1:29" ht="19.9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spans="1:29" ht="19.9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spans="1:29" ht="19.9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spans="1:29" ht="19.9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spans="1:29" ht="19.9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spans="1:29" ht="19.9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spans="1:29" ht="19.9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spans="1:29" ht="19.9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spans="1:29" ht="19.9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spans="1:29" ht="19.9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spans="1:29" ht="19.9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spans="1:29" ht="19.9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spans="1:29" ht="19.9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spans="1:29" ht="19.9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spans="1:29" ht="19.9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spans="1:29" ht="19.9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spans="1:29" ht="19.9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spans="1:29" ht="19.9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spans="1:29" ht="19.9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spans="1:29" ht="19.9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spans="1:29" ht="19.9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spans="1:29" ht="19.9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spans="1:29" ht="19.9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spans="1:29" ht="19.9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spans="1:29" ht="19.9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spans="1:29" ht="19.9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spans="1:29" ht="19.9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spans="1:29" ht="19.9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spans="1:29" ht="19.9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spans="1:29" ht="19.9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spans="1:29" ht="19.9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spans="1:29" ht="19.9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spans="1:29" ht="19.9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spans="1:29" ht="19.9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spans="1:29" ht="19.9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spans="1:29" ht="19.9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spans="1:29" ht="19.9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spans="1:29" ht="19.9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spans="1:29" ht="19.9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spans="1:29" ht="19.9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spans="1:29" ht="19.9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spans="1:29" ht="19.9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spans="1:29" ht="19.9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spans="1:29" ht="19.9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spans="1:29" ht="19.9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spans="1:29" ht="19.9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spans="1:29" ht="19.9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spans="1:29" ht="19.9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spans="1:29" ht="19.9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spans="1:29" ht="19.9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spans="1:29" ht="19.9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spans="1:29" ht="19.9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spans="1:29" ht="19.9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spans="1:29" ht="19.9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spans="1:29" ht="19.9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spans="1:29" ht="19.9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spans="1:29" ht="19.9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spans="1:29" ht="19.9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spans="1:29" ht="19.9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spans="1:29" ht="19.9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spans="1:29" ht="19.9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spans="1:29" ht="19.9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spans="1:29" ht="19.9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spans="1:29" ht="19.9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spans="1:29" ht="19.9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spans="1:29" ht="19.9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spans="1:29" ht="19.9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spans="1:29" ht="19.9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spans="1:29" ht="19.9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spans="1:29" ht="19.9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spans="1:29" ht="19.9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spans="1:29" ht="19.9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spans="1:29" ht="19.9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spans="1:29" ht="19.9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spans="1:29" ht="19.9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spans="1:29" ht="19.9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spans="1:29" ht="19.9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spans="1:29" ht="19.9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spans="1:29" ht="19.9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spans="1:29" ht="19.9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spans="1:29" ht="19.9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spans="1:29" ht="19.9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spans="1:29" ht="19.9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spans="1:29" ht="19.9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spans="1:29" ht="19.9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spans="1:29" ht="19.9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spans="1:29" ht="19.9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spans="1:29" ht="19.9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spans="1:29" ht="19.9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spans="1:29" ht="19.9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spans="1:29" ht="19.9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spans="1:29" ht="19.9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spans="1:29" ht="19.9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spans="1:29" ht="19.9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spans="1:29" ht="19.9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spans="1:29" ht="19.9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spans="1:29" ht="19.9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spans="1:29" ht="19.9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spans="1:29" ht="19.9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spans="1:29" ht="19.9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spans="1:29" ht="19.9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spans="1:29" ht="19.9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spans="1:29" ht="19.9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spans="1:29" ht="19.9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spans="1:29" ht="19.9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spans="1:29" ht="19.9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spans="1:29" ht="19.9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spans="1:29" ht="19.9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spans="1:29" ht="19.9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spans="1:29" ht="19.9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spans="1:29" ht="19.9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spans="1:29" ht="19.9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spans="1:29" ht="19.9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spans="1:29" ht="19.9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spans="1:29" ht="19.9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spans="1:29" ht="19.9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spans="1:29" ht="19.9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spans="1:29" ht="19.9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spans="1:29" ht="19.9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spans="1:29" ht="19.9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spans="1:29" ht="19.9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spans="1:29" ht="19.9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spans="1:29" ht="19.9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spans="1:29" ht="19.9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spans="1:29" ht="19.9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spans="1:29" ht="19.9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spans="1:29" ht="19.9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spans="1:29" ht="19.9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spans="1:29" ht="19.9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spans="1:29" ht="19.9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spans="1:29" ht="19.9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spans="1:29" ht="19.9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spans="1:29" ht="19.9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spans="1:29" ht="19.9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spans="1:29" ht="19.9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spans="1:29" ht="19.9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spans="1:29" ht="19.9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spans="1:29" ht="19.9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spans="1:29" ht="19.9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spans="1:29" ht="19.9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spans="1:29" ht="19.9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spans="1:29" ht="19.9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spans="1:29" ht="19.9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spans="1:29" ht="19.9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spans="1:29" ht="19.9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spans="1:29" ht="19.9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spans="1:29" ht="19.9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spans="1:29" ht="19.9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spans="1:29" ht="19.9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spans="1:29" ht="19.9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spans="1:29" ht="19.9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spans="1:29" ht="19.9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spans="1:29" ht="19.9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spans="1:29" ht="19.9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spans="1:29" ht="19.9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spans="1:29" ht="19.9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spans="1:29" ht="19.9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spans="1:29" ht="19.9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spans="1:29" ht="19.9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spans="1:29" ht="19.9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spans="1:29" ht="19.9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spans="1:29" ht="19.9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spans="1:29" ht="19.9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spans="1:29" ht="19.9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spans="1:29" ht="19.9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spans="1:29" ht="19.9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spans="1:29" ht="19.9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spans="1:29" ht="19.9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spans="1:29" ht="19.9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spans="1:29" ht="19.9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spans="1:29" ht="19.9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spans="1:29" ht="19.9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spans="1:29" ht="19.9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spans="1:29" ht="19.9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spans="1:29" ht="19.9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spans="1:29" ht="19.9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spans="1:29" ht="19.9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spans="1:29" ht="19.9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spans="1:29" ht="19.9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spans="1:29" ht="19.9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spans="1:29" ht="19.9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spans="1:29" ht="19.9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spans="1:29" ht="19.9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spans="1:29" ht="19.9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spans="1:29" ht="19.9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spans="1:29" ht="19.9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spans="1:29" ht="19.9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spans="1:29" ht="19.9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spans="1:29" ht="19.9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spans="1:29" ht="19.9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spans="1:29" ht="19.9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spans="1:29" ht="19.9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spans="1:29" ht="19.9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spans="1:29" ht="19.9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spans="1:29" ht="19.9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spans="1:29" ht="19.9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spans="1:29" ht="19.9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spans="1:29" ht="19.9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spans="1:29" ht="19.9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spans="1:29" ht="19.9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spans="1:29" ht="19.9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spans="1:29" ht="19.9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spans="1:29" ht="19.9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spans="1:29" ht="19.9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spans="1:29" ht="19.9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spans="1:29" ht="19.9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spans="1:29" ht="19.9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spans="1:29" ht="19.9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spans="1:29" ht="19.9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spans="1:29" ht="19.9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spans="1:29" ht="19.9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spans="1:29" ht="19.9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spans="1:29" ht="19.9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spans="1:29" ht="19.9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spans="1:29" ht="19.9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spans="1:29" ht="19.9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spans="1:29" ht="19.9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spans="1:29" ht="19.9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spans="1:29" ht="19.9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spans="1:29" ht="19.9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spans="1:29" ht="19.9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spans="1:29" ht="19.9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spans="1:29" ht="19.9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spans="1:29" ht="19.9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spans="1:29" ht="19.9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spans="1:29" ht="19.9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spans="1:29" ht="19.9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spans="1:29" ht="19.9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spans="1:29" ht="19.9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spans="1:29" ht="19.9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spans="1:29" ht="19.9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spans="1:29" ht="19.9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9.9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9.9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9.9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9.9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9.9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9.9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9.9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9.9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9.9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9.9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9.9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9.9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9.9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9.9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9.9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9.9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9.9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9.9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9.9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spans="1:29" ht="19.9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spans="1:29" ht="19.9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spans="1:29" ht="19.9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spans="1:29" ht="19.9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spans="1:29" ht="19.9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spans="1:29" ht="19.9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spans="1:29" ht="19.9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spans="1:29" ht="19.9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spans="1:29" ht="19.9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spans="1:29" ht="19.9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spans="1:29" ht="19.9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spans="1:29" ht="19.9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spans="1:29" ht="19.9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spans="1:29" ht="19.9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spans="1:29" ht="19.9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spans="1:29" ht="19.9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spans="1:29" ht="19.9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spans="1:29" ht="19.9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spans="1:29" ht="19.9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spans="1:29" ht="19.9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spans="1:29" ht="19.9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spans="1:29" ht="19.9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spans="1:29" ht="19.9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spans="1:29" ht="19.9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spans="1:29" ht="19.9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spans="1:29" ht="19.9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spans="1:29" ht="19.9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spans="1:29" ht="19.9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spans="1:29" ht="19.9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spans="1:29" ht="19.9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spans="1:29" ht="19.9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spans="1:29" ht="19.9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spans="1:29" ht="19.9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spans="1:29" ht="19.9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spans="1:29" ht="19.9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spans="1:29" ht="19.9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spans="1:29" ht="19.9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spans="1:29" ht="19.9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spans="1:29" ht="19.9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spans="1:29" ht="19.9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spans="1:29" ht="19.9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spans="1:29" ht="19.9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spans="1:29" ht="19.9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spans="1:29" ht="19.9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spans="1:29" ht="19.9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spans="1:29" ht="19.9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spans="1:29" ht="19.9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spans="1:29" ht="19.9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spans="1:29" ht="19.9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spans="1:29" ht="19.9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spans="1:29" ht="19.9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spans="1:29" ht="19.9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spans="1:29" ht="19.9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spans="1:29" ht="19.9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spans="1:29" ht="19.9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spans="1:29" ht="19.9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spans="1:29" ht="19.9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spans="1:29" ht="19.9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spans="1:29" ht="19.9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spans="1:29" ht="19.9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spans="1:29" ht="19.9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spans="1:29" ht="19.9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spans="1:29" ht="19.9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spans="1:29" ht="19.9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spans="1:29" ht="19.9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spans="1:29" ht="19.9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spans="1:29" ht="19.9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spans="1:29" ht="19.9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spans="1:29" ht="19.9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spans="1:29" ht="19.9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spans="1:29" ht="19.9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spans="1:29" ht="19.9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spans="1:29" ht="19.9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spans="1:29" ht="19.9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spans="1:29" ht="19.9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spans="1:29" ht="19.9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spans="1:29" ht="19.9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spans="1:29" ht="19.9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spans="1:29" ht="19.9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spans="1:29" ht="19.9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spans="1:29" ht="19.9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spans="1:29" ht="19.9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spans="1:29" ht="19.9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spans="1:29" ht="19.9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spans="1:29" ht="19.9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spans="1:29" ht="19.9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spans="1:29" ht="19.9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spans="1:29" ht="19.9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spans="1:29" ht="19.9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spans="1:29" ht="19.9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spans="1:29" ht="19.9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spans="1:29" ht="19.9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spans="1:29" ht="19.9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spans="1:29" ht="19.9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spans="1:29" ht="19.9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spans="1:29" ht="19.9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spans="1:29" ht="19.9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spans="1:29" ht="19.9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spans="1:29" ht="19.9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spans="1:29" ht="19.9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spans="1:29" ht="19.9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spans="1:29" ht="19.9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spans="1:29" ht="19.9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spans="1:29" ht="19.9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spans="1:29" ht="19.9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spans="1:29" ht="19.9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spans="1:29" ht="19.9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spans="1:29" ht="19.9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spans="1:29" ht="19.9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spans="1:29" ht="19.9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spans="1:29" ht="19.9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spans="1:29" ht="19.9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spans="1:29" ht="19.9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spans="1:29" ht="19.9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spans="1:29" ht="19.9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spans="1:29" ht="19.9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spans="1:29" ht="19.9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spans="1:29" ht="19.9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spans="1:29" ht="19.9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spans="1:29" ht="19.9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spans="1:29" ht="19.9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spans="1:29" ht="19.9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spans="1:29" ht="19.9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spans="1:29" ht="19.9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spans="1:29" ht="19.9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spans="1:29" ht="19.9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spans="1:29" ht="19.9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spans="1:29" ht="19.9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spans="1:29" ht="19.9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spans="1:29" ht="19.9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spans="1:29" ht="19.9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spans="1:29" ht="19.9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spans="1:29" ht="19.9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spans="1:29" ht="19.9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spans="1:29" ht="19.9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spans="1:29" ht="19.9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spans="1:29" ht="19.9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spans="1:29" ht="19.9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spans="1:29" ht="19.9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spans="1:29" ht="19.9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spans="1:29" ht="19.9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spans="1:29" ht="19.9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spans="1:29" ht="19.9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spans="1:29" ht="19.9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spans="1:29" ht="19.9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spans="1:29" ht="19.9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spans="1:29" ht="19.9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spans="1:29" ht="19.9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spans="1:29" ht="19.9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spans="1:29" ht="19.9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spans="1:29" ht="19.9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spans="1:29" ht="19.9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spans="1:29" ht="19.9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spans="1:29" ht="19.9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spans="1:29" ht="19.9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spans="1:29" ht="19.9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spans="1:29" ht="19.9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spans="1:29" ht="19.9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spans="1:29" ht="19.9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spans="1:29" ht="19.9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spans="1:29" ht="19.9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spans="1:29" ht="19.9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spans="1:29" ht="19.9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spans="1:29" ht="19.9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spans="1:29" ht="19.9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spans="1:29" ht="19.9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spans="1:29" ht="19.9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spans="1:29" ht="19.9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spans="1:29" ht="19.9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spans="1:29" ht="19.9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spans="1:29" ht="19.9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spans="1:29" ht="19.9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spans="1:29" ht="19.9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spans="1:29" ht="19.9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spans="1:29" ht="19.9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spans="1:29" ht="19.9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spans="1:29" ht="19.9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spans="1:29" ht="19.9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spans="1:29" ht="19.9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spans="1:29" ht="19.9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spans="1:29" ht="19.9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spans="1:29" ht="19.9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spans="1:29" ht="19.9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spans="1:29" ht="19.9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spans="1:29" ht="19.9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spans="1:29" ht="19.9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spans="1:29" ht="19.9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spans="1:29" ht="19.9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spans="1:29" ht="19.9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spans="1:29" ht="19.9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spans="1:29" ht="19.9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spans="1:29" ht="19.9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spans="1:29" ht="19.9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spans="1:29" ht="19.9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spans="1:29" ht="19.9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spans="1:29" ht="19.9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spans="1:29" ht="19.9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spans="1:29" ht="19.9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spans="1:29" ht="19.9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spans="1:29" ht="19.9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spans="1:29" ht="19.9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spans="1:29" ht="19.9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spans="1:29" ht="19.9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spans="1:29" ht="19.9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spans="1:29" ht="19.9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spans="1:29" ht="19.9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spans="1:29" ht="19.9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spans="1:29" ht="19.9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spans="1:29" ht="19.9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spans="1:29" ht="19.9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spans="1:29" ht="19.9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spans="1:29" ht="19.9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spans="1:29" ht="19.9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spans="1:29" ht="19.9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spans="1:29" ht="19.9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spans="1:29" ht="19.9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spans="1:29" ht="19.9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spans="1:29" ht="19.9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spans="1:29" ht="19.9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spans="1:29" ht="19.9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spans="1:29" ht="19.9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spans="1:29" ht="19.9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spans="1:29" ht="19.9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spans="1:29" ht="19.9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spans="1:29" ht="19.9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spans="1:29" ht="19.9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spans="1:29" ht="19.9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spans="1:29" ht="19.9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spans="1:29" ht="19.9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spans="1:29" ht="19.9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spans="1:29" ht="19.9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spans="1:29" ht="19.9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spans="1:29" ht="19.9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spans="1:29" ht="19.9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spans="1:29" ht="19.9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spans="1:29" ht="19.9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spans="1:29" ht="19.9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spans="1:29" ht="19.9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spans="1:29" ht="19.9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spans="1:29" ht="19.9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spans="1:29" ht="19.9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spans="1:29" ht="19.9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spans="1:29" ht="19.9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spans="1:29" ht="19.9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spans="1:29" ht="19.9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spans="1:29" ht="19.9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spans="1:29" ht="19.9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spans="1:29" ht="19.9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spans="1:29" ht="19.9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spans="1:29" ht="19.9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spans="1:29" ht="19.9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spans="1:29" ht="19.9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spans="1:29" ht="19.9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spans="1:29" ht="19.9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spans="1:29" ht="19.9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spans="1:29" ht="19.9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spans="1:29" ht="19.9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spans="1:29" ht="19.9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spans="1:29" ht="19.9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spans="1:29" ht="19.9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spans="1:29" ht="19.9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spans="1:29" ht="19.9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spans="1:29" ht="19.9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spans="1:29" ht="19.9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spans="1:29" ht="19.9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spans="1:29" ht="19.9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spans="1:29" ht="19.9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spans="1:29" ht="19.9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spans="1:29" ht="19.9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spans="1:29" ht="19.9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spans="1:29" ht="19.9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spans="1:29" ht="19.9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spans="1:29" ht="19.9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spans="1:29" ht="19.9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spans="1:29" ht="19.9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spans="1:29" ht="19.9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spans="1:29" ht="19.9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spans="1:29" ht="19.9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ht="19.9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spans="1:29" ht="19.9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spans="1:29" ht="19.9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spans="1:29" ht="19.9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spans="1:29" ht="19.9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spans="1:29" ht="19.9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spans="1:29" ht="19.9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spans="1:29" ht="19.9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spans="1:29" ht="19.9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spans="1:29" ht="19.9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spans="1:29" ht="19.9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spans="1:29" ht="19.9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spans="1:29" ht="19.9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spans="1:29" ht="19.9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spans="1:29" ht="19.9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spans="1:29" ht="19.9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spans="1:29" ht="19.9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spans="1:29" ht="19.9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spans="1:29" ht="19.9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spans="1:29" ht="19.9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spans="1:29" ht="19.9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spans="1:29" ht="19.9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spans="1:29" ht="19.9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spans="1:29" ht="19.9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spans="1:29" ht="19.9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spans="1:29" ht="19.9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spans="1:29" ht="19.9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spans="1:29" ht="19.9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spans="1:29" ht="19.9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spans="1:29" ht="19.9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spans="1:29" ht="19.9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spans="1:29" ht="19.9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spans="1:29" ht="19.9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spans="1:29" ht="19.9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spans="1:29" ht="19.9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spans="1:29" ht="19.9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spans="1:29" ht="19.9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spans="1:29" ht="19.9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spans="1:29" ht="19.9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spans="1:29" ht="19.9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spans="1:29" ht="19.9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spans="1:29" ht="19.9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spans="1:29" ht="19.9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spans="1:29" ht="19.9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spans="1:29" ht="19.9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spans="1:29" ht="19.9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spans="1:29" ht="19.9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spans="1:29" ht="19.9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spans="1:29" ht="19.9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spans="1:29" ht="19.9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spans="1:29" ht="19.9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spans="1:29" ht="19.9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spans="1:29" ht="19.9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spans="1:29" ht="19.9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spans="1:29" ht="19.9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spans="1:29" ht="19.9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spans="1:29" ht="19.9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spans="1:29" ht="19.9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spans="1:29" ht="19.9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spans="1:29" ht="19.9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spans="1:29" ht="19.9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spans="1:29" ht="19.9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spans="1:29" ht="19.9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spans="1:29" ht="19.9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spans="1:29" ht="19.9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spans="1:29" ht="19.9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spans="1:29" ht="19.9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spans="1:29" ht="19.9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spans="1:29" ht="19.9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spans="1:29" ht="19.9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spans="1:29" ht="19.9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spans="1:29" ht="19.9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spans="1:29" ht="19.9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spans="1:29" ht="19.9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spans="1:29" ht="19.9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spans="1:29" ht="19.9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spans="1:29" ht="19.9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spans="1:29" ht="19.9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spans="1:29" ht="19.9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spans="1:29" ht="19.9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spans="1:29" ht="19.9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spans="1:29" ht="19.9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spans="1:29" ht="19.9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spans="1:29" ht="19.9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spans="1:29" ht="19.9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spans="1:29" ht="19.95" customHeight="1" x14ac:dyDescent="0.3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spans="1:29" ht="19.95" customHeight="1" x14ac:dyDescent="0.3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spans="1:29" ht="19.95" customHeight="1" x14ac:dyDescent="0.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spans="1:29" ht="19.95" customHeight="1" x14ac:dyDescent="0.3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spans="1:29" ht="19.95" customHeight="1" x14ac:dyDescent="0.3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spans="1:29" ht="19.95" customHeight="1" x14ac:dyDescent="0.3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spans="1:29" ht="19.95" customHeight="1" x14ac:dyDescent="0.3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spans="1:29" ht="19.95" customHeight="1" x14ac:dyDescent="0.3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spans="1:29" ht="19.95" customHeight="1" x14ac:dyDescent="0.3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spans="1:29" ht="19.95" customHeight="1" x14ac:dyDescent="0.3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spans="1:29" ht="19.95" customHeight="1" x14ac:dyDescent="0.3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 spans="1:29" ht="19.95" customHeight="1" x14ac:dyDescent="0.3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  <row r="1013" spans="1:29" ht="19.95" customHeight="1" x14ac:dyDescent="0.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</row>
    <row r="1014" spans="1:29" ht="19.95" customHeight="1" x14ac:dyDescent="0.3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</row>
    <row r="1015" spans="1:29" ht="19.95" customHeight="1" x14ac:dyDescent="0.3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</row>
    <row r="1016" spans="1:29" ht="19.95" customHeight="1" x14ac:dyDescent="0.3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</row>
    <row r="1017" spans="1:29" ht="19.95" customHeight="1" x14ac:dyDescent="0.3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</row>
    <row r="1018" spans="1:29" ht="19.95" customHeight="1" x14ac:dyDescent="0.3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</row>
    <row r="1019" spans="1:29" ht="19.95" customHeight="1" x14ac:dyDescent="0.3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</row>
    <row r="1020" spans="1:29" ht="19.95" customHeight="1" x14ac:dyDescent="0.3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</row>
    <row r="1021" spans="1:29" ht="19.95" customHeight="1" x14ac:dyDescent="0.3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</row>
    <row r="1022" spans="1:29" ht="19.95" customHeight="1" x14ac:dyDescent="0.3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</row>
    <row r="1023" spans="1:29" ht="19.95" customHeight="1" x14ac:dyDescent="0.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</row>
    <row r="1024" spans="1:29" ht="19.95" customHeight="1" x14ac:dyDescent="0.3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</row>
    <row r="1025" spans="1:29" ht="19.95" customHeight="1" x14ac:dyDescent="0.3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</row>
    <row r="1026" spans="1:29" ht="19.95" customHeight="1" x14ac:dyDescent="0.3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</row>
    <row r="1027" spans="1:29" ht="19.95" customHeight="1" x14ac:dyDescent="0.3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</row>
    <row r="1028" spans="1:29" ht="19.95" customHeight="1" x14ac:dyDescent="0.3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</row>
    <row r="1029" spans="1:29" ht="19.95" customHeight="1" x14ac:dyDescent="0.3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</row>
    <row r="1030" spans="1:29" ht="19.95" customHeight="1" x14ac:dyDescent="0.3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</row>
    <row r="1031" spans="1:29" ht="19.95" customHeight="1" x14ac:dyDescent="0.3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</row>
    <row r="1032" spans="1:29" ht="19.95" customHeight="1" x14ac:dyDescent="0.3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</row>
    <row r="1033" spans="1:29" ht="19.95" customHeight="1" x14ac:dyDescent="0.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</row>
    <row r="1034" spans="1:29" ht="19.95" customHeight="1" x14ac:dyDescent="0.3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</row>
  </sheetData>
  <mergeCells count="38">
    <mergeCell ref="L6:N6"/>
    <mergeCell ref="B7:C7"/>
    <mergeCell ref="E7:I7"/>
    <mergeCell ref="L7:N7"/>
    <mergeCell ref="B20:B32"/>
    <mergeCell ref="E13:I13"/>
    <mergeCell ref="B1:E1"/>
    <mergeCell ref="B2:E2"/>
    <mergeCell ref="B3:E3"/>
    <mergeCell ref="B4:E4"/>
    <mergeCell ref="A6:I6"/>
    <mergeCell ref="D108:E108"/>
    <mergeCell ref="D109:E109"/>
    <mergeCell ref="B8:C8"/>
    <mergeCell ref="E8:I8"/>
    <mergeCell ref="L8:N8"/>
    <mergeCell ref="B9:C9"/>
    <mergeCell ref="E9:I9"/>
    <mergeCell ref="L9:N9"/>
    <mergeCell ref="B10:C10"/>
    <mergeCell ref="E10:I10"/>
    <mergeCell ref="L10:N10"/>
    <mergeCell ref="B11:C11"/>
    <mergeCell ref="E11:I11"/>
    <mergeCell ref="B12:C12"/>
    <mergeCell ref="E12:I12"/>
    <mergeCell ref="A13:C13"/>
    <mergeCell ref="A17:A109"/>
    <mergeCell ref="B17:C17"/>
    <mergeCell ref="B18:C18"/>
    <mergeCell ref="B19:C19"/>
    <mergeCell ref="B33:B45"/>
    <mergeCell ref="B46:B75"/>
    <mergeCell ref="B76:B85"/>
    <mergeCell ref="B86:B95"/>
    <mergeCell ref="B96:B105"/>
    <mergeCell ref="B106:B107"/>
    <mergeCell ref="B108:C109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46"/>
  <sheetViews>
    <sheetView topLeftCell="B112" zoomScale="65" zoomScaleNormal="70" workbookViewId="0">
      <selection activeCell="V137" sqref="V137"/>
    </sheetView>
  </sheetViews>
  <sheetFormatPr defaultColWidth="14.44140625" defaultRowHeight="19.95" customHeight="1" x14ac:dyDescent="0.3"/>
  <cols>
    <col min="1" max="1" width="19.44140625" customWidth="1"/>
    <col min="2" max="2" width="20" customWidth="1"/>
    <col min="3" max="3" width="54.77734375" customWidth="1"/>
    <col min="4" max="4" width="23.6640625" customWidth="1"/>
    <col min="5" max="5" width="10.44140625" customWidth="1"/>
    <col min="6" max="6" width="7.44140625" customWidth="1"/>
    <col min="7" max="10" width="9" customWidth="1"/>
    <col min="11" max="11" width="9.109375" customWidth="1"/>
    <col min="12" max="12" width="10.77734375" customWidth="1"/>
    <col min="13" max="14" width="8.88671875" customWidth="1"/>
    <col min="15" max="15" width="9.109375" customWidth="1"/>
    <col min="16" max="16" width="10.77734375" customWidth="1"/>
    <col min="17" max="17" width="9.109375" customWidth="1"/>
    <col min="18" max="18" width="9.44140625" customWidth="1"/>
    <col min="19" max="19" width="10" customWidth="1"/>
    <col min="20" max="20" width="9.44140625" customWidth="1"/>
    <col min="21" max="22" width="11.44140625" customWidth="1"/>
  </cols>
  <sheetData>
    <row r="1" spans="1:29" ht="19.95" customHeight="1" x14ac:dyDescent="0.3">
      <c r="A1" s="13" t="s">
        <v>3</v>
      </c>
      <c r="B1" s="87" t="s">
        <v>52</v>
      </c>
      <c r="C1" s="88"/>
      <c r="D1" s="88"/>
      <c r="E1" s="89"/>
      <c r="F1" s="14"/>
      <c r="G1" s="14"/>
      <c r="H1" s="15"/>
      <c r="I1" s="15"/>
      <c r="J1" s="15"/>
      <c r="K1" s="15"/>
      <c r="L1" s="15"/>
      <c r="M1" s="15"/>
      <c r="N1" s="15"/>
      <c r="O1" s="15"/>
      <c r="P1" s="1"/>
      <c r="Q1" s="1"/>
      <c r="R1" s="15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9.95" customHeight="1" x14ac:dyDescent="0.3">
      <c r="A2" s="13" t="s">
        <v>2</v>
      </c>
      <c r="B2" s="87" t="s">
        <v>15</v>
      </c>
      <c r="C2" s="88"/>
      <c r="D2" s="88"/>
      <c r="E2" s="89"/>
      <c r="F2" s="14"/>
      <c r="G2" s="14"/>
      <c r="H2" s="15"/>
      <c r="I2" s="15"/>
      <c r="J2" s="15"/>
      <c r="K2" s="15"/>
      <c r="L2" s="15"/>
      <c r="M2" s="15"/>
      <c r="N2" s="15"/>
      <c r="O2" s="15"/>
      <c r="P2" s="1"/>
      <c r="Q2" s="1"/>
      <c r="R2" s="1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19.95" customHeight="1" x14ac:dyDescent="0.3">
      <c r="A3" s="13" t="s">
        <v>1</v>
      </c>
      <c r="B3" s="90">
        <v>46136</v>
      </c>
      <c r="C3" s="91"/>
      <c r="D3" s="91"/>
      <c r="E3" s="92"/>
      <c r="F3" s="17"/>
      <c r="G3" s="17"/>
      <c r="H3" s="15"/>
      <c r="I3" s="15"/>
      <c r="J3" s="15"/>
      <c r="K3" s="15"/>
      <c r="L3" s="15"/>
      <c r="M3" s="15"/>
      <c r="N3" s="15"/>
      <c r="O3" s="15"/>
      <c r="P3" s="1"/>
      <c r="Q3" s="1"/>
      <c r="R3" s="1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 ht="19.95" customHeight="1" x14ac:dyDescent="0.3">
      <c r="A4" s="13" t="s">
        <v>0</v>
      </c>
      <c r="B4" s="90">
        <v>46153</v>
      </c>
      <c r="C4" s="91"/>
      <c r="D4" s="91"/>
      <c r="E4" s="92"/>
      <c r="F4" s="17"/>
      <c r="G4" s="17"/>
      <c r="H4" s="15"/>
      <c r="I4" s="15"/>
      <c r="J4" s="15"/>
      <c r="K4" s="15"/>
      <c r="L4" s="15"/>
      <c r="M4" s="15"/>
      <c r="N4" s="15"/>
      <c r="O4" s="15"/>
      <c r="P4" s="1"/>
      <c r="Q4" s="1"/>
      <c r="R4" s="1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ht="19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 ht="19.95" customHeight="1" x14ac:dyDescent="0.3">
      <c r="A6" s="93" t="s">
        <v>253</v>
      </c>
      <c r="B6" s="94"/>
      <c r="C6" s="94"/>
      <c r="D6" s="94"/>
      <c r="E6" s="94"/>
      <c r="F6" s="94"/>
      <c r="G6" s="94"/>
      <c r="H6" s="94"/>
      <c r="I6" s="71"/>
      <c r="J6" s="1"/>
      <c r="K6" s="18"/>
      <c r="L6" s="75" t="s">
        <v>25</v>
      </c>
      <c r="M6" s="76"/>
      <c r="N6" s="76"/>
      <c r="O6" s="1"/>
      <c r="P6" s="1"/>
      <c r="Q6" s="1"/>
      <c r="R6" s="1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 ht="19.95" customHeight="1" x14ac:dyDescent="0.3">
      <c r="A7" s="19" t="s">
        <v>26</v>
      </c>
      <c r="B7" s="95" t="s">
        <v>27</v>
      </c>
      <c r="C7" s="84"/>
      <c r="D7" s="20" t="s">
        <v>9</v>
      </c>
      <c r="E7" s="96" t="s">
        <v>18</v>
      </c>
      <c r="F7" s="94"/>
      <c r="G7" s="94"/>
      <c r="H7" s="94"/>
      <c r="I7" s="71"/>
      <c r="J7" s="1"/>
      <c r="K7" s="21"/>
      <c r="L7" s="75" t="s">
        <v>28</v>
      </c>
      <c r="M7" s="76"/>
      <c r="N7" s="76"/>
      <c r="O7" s="1"/>
      <c r="P7" s="1"/>
      <c r="Q7" s="1"/>
      <c r="R7" s="1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 ht="19.95" customHeight="1" x14ac:dyDescent="0.3">
      <c r="A8" s="22">
        <v>1</v>
      </c>
      <c r="B8" s="70" t="s">
        <v>29</v>
      </c>
      <c r="C8" s="71"/>
      <c r="D8" s="23">
        <f xml:space="preserve"> SUMIF(D17:D129, "Hưng",E17:E129) + SUMIF(D17:D129, "All Team", E17:E129)/5 + SUMIF(D17:D129, "Hưng, Khải", E17:E129)/2</f>
        <v>57</v>
      </c>
      <c r="E8" s="72">
        <f xml:space="preserve"> SUMIF(D17:D129, "Hưng",F17:F129) + SUMIF(D17:D129, "All Team", F17:F129)/5+ SUMIF(D17:D129, "Hưng, Khải", F17:F129)/2</f>
        <v>45</v>
      </c>
      <c r="F8" s="73"/>
      <c r="G8" s="73"/>
      <c r="H8" s="73"/>
      <c r="I8" s="74"/>
      <c r="J8" s="1"/>
      <c r="K8" s="24"/>
      <c r="L8" s="75" t="s">
        <v>21</v>
      </c>
      <c r="M8" s="76"/>
      <c r="N8" s="76"/>
      <c r="O8" s="1"/>
      <c r="P8" s="1"/>
      <c r="Q8" s="1"/>
      <c r="R8" s="1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ht="19.95" customHeight="1" x14ac:dyDescent="0.3">
      <c r="A9" s="22">
        <v>2</v>
      </c>
      <c r="B9" s="77" t="s">
        <v>30</v>
      </c>
      <c r="C9" s="78"/>
      <c r="D9" s="23">
        <f xml:space="preserve"> SUMIF(D17:D129, "Khải",E17:E129) + SUMIF(D17:D129, "All Team", E17:E129)/5 + SUMIF(D17:D129, "Hưng, Khải", E17:E129)/2</f>
        <v>49</v>
      </c>
      <c r="E9" s="73">
        <f ca="1" xml:space="preserve"> SUMIF(D17:D129, "Khải",F17:F129) + SUMIF(D17:D129, "All Team", F17:F129)/5 + SUMIF(D17:D129, "Hưng, Khải", F17:F128)/2</f>
        <v>38</v>
      </c>
      <c r="F9" s="79"/>
      <c r="G9" s="79"/>
      <c r="H9" s="79"/>
      <c r="I9" s="80"/>
      <c r="J9" s="1"/>
      <c r="K9" s="15"/>
      <c r="L9" s="81"/>
      <c r="M9" s="82"/>
      <c r="N9" s="82"/>
      <c r="O9" s="1"/>
      <c r="P9" s="1"/>
      <c r="Q9" s="1"/>
      <c r="R9" s="1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ht="19.95" customHeight="1" x14ac:dyDescent="0.3">
      <c r="A10" s="22">
        <v>3</v>
      </c>
      <c r="B10" s="77" t="s">
        <v>31</v>
      </c>
      <c r="C10" s="78"/>
      <c r="D10" s="23">
        <f xml:space="preserve"> SUMIF(D17:D129, "Lĩnh",E17:E129) + SUMIF(D17:D129, "All Team", E17:E129)/5</f>
        <v>35</v>
      </c>
      <c r="E10" s="73">
        <f xml:space="preserve"> SUMIF(D17:D129, "Lĩnh",F17:F129) + SUMIF(D17:D129, "All Team", F17:F129)/5</f>
        <v>31</v>
      </c>
      <c r="F10" s="79"/>
      <c r="G10" s="79"/>
      <c r="H10" s="79"/>
      <c r="I10" s="80"/>
      <c r="J10" s="1"/>
      <c r="K10" s="15"/>
      <c r="L10" s="81"/>
      <c r="M10" s="82"/>
      <c r="N10" s="82"/>
      <c r="O10" s="1"/>
      <c r="P10" s="1"/>
      <c r="Q10" s="1"/>
      <c r="R10" s="1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9.95" customHeight="1" x14ac:dyDescent="0.3">
      <c r="A11" s="22">
        <v>4</v>
      </c>
      <c r="B11" s="77" t="s">
        <v>53</v>
      </c>
      <c r="C11" s="78"/>
      <c r="D11" s="23">
        <f xml:space="preserve"> SUMIF(D17:D129, "Luyện",E17:E129) + SUMIF(D17:D129, "All Team", E17:E129)/5 + SUMIF(D17:D129, "Thúy, Luyện", E17:E129)/2</f>
        <v>36</v>
      </c>
      <c r="E11" s="73">
        <f xml:space="preserve"> SUMIF(D17:D129, "Luyện",F17:F129) + SUMIF(D17:D129, "All Team", F17:F129)/5 + SUMIF(D17:D129, "Thúy, Luyện", F17:F130)/2</f>
        <v>34</v>
      </c>
      <c r="F11" s="79"/>
      <c r="G11" s="79"/>
      <c r="H11" s="79"/>
      <c r="I11" s="80"/>
      <c r="J11" s="1"/>
      <c r="K11" s="1"/>
      <c r="L11" s="1"/>
      <c r="M11" s="1"/>
      <c r="N11" s="1"/>
      <c r="O11" s="1"/>
      <c r="P11" s="1"/>
      <c r="Q11" s="1"/>
      <c r="R11" s="1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ht="19.95" customHeight="1" x14ac:dyDescent="0.3">
      <c r="A12" s="25">
        <v>5</v>
      </c>
      <c r="B12" s="83" t="s">
        <v>54</v>
      </c>
      <c r="C12" s="84"/>
      <c r="D12" s="23">
        <f xml:space="preserve"> SUMIF(D17:D129, "Thúy",E17:E129) + SUMIF(D17:D129, "All Team", E17:E129)/5 + SUMIF(D17:D129, "Thúy, Luyện", E17:E129)/2</f>
        <v>26</v>
      </c>
      <c r="E12" s="73">
        <f xml:space="preserve"> SUMIF(D17:D129, "Thúy",F17:F129) + SUMIF(D17:D129, "All Team", F17:F129)/5 + SUMIF(D17:D129, "Thúy, Luyện", F17:F130)/2</f>
        <v>25</v>
      </c>
      <c r="F12" s="79"/>
      <c r="G12" s="79"/>
      <c r="H12" s="79"/>
      <c r="I12" s="80"/>
      <c r="J12" s="1"/>
      <c r="K12" s="1"/>
      <c r="L12" s="1"/>
      <c r="M12" s="1"/>
      <c r="N12" s="1"/>
      <c r="O12" s="1"/>
      <c r="P12" s="1"/>
      <c r="Q12" s="1"/>
      <c r="R12" s="1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 ht="19.95" customHeight="1" x14ac:dyDescent="0.3">
      <c r="A13" s="85" t="s">
        <v>32</v>
      </c>
      <c r="B13" s="86"/>
      <c r="C13" s="78"/>
      <c r="D13" s="26">
        <f>SUM(D8:D12)</f>
        <v>203</v>
      </c>
      <c r="E13" s="97">
        <f ca="1">SUM(E8:I12)</f>
        <v>173</v>
      </c>
      <c r="F13" s="98"/>
      <c r="G13" s="98"/>
      <c r="H13" s="98"/>
      <c r="I13" s="99"/>
      <c r="J13" s="1"/>
      <c r="K13" s="1"/>
      <c r="L13" s="1"/>
      <c r="M13" s="1"/>
      <c r="N13" s="1"/>
      <c r="O13" s="1"/>
      <c r="P13" s="1"/>
      <c r="Q13" s="1"/>
      <c r="R13" s="1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 ht="19.95" customHeight="1" x14ac:dyDescent="0.3">
      <c r="A14" s="1"/>
      <c r="B14" s="1"/>
      <c r="C14" s="1"/>
      <c r="D14" s="2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 ht="19.9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29" ht="60" customHeight="1" x14ac:dyDescent="0.3">
      <c r="A16" s="28" t="s">
        <v>5</v>
      </c>
      <c r="B16" s="28" t="s">
        <v>6</v>
      </c>
      <c r="C16" s="28" t="s">
        <v>7</v>
      </c>
      <c r="D16" s="43" t="s">
        <v>8</v>
      </c>
      <c r="E16" s="29" t="s">
        <v>33</v>
      </c>
      <c r="F16" s="30" t="s">
        <v>34</v>
      </c>
      <c r="G16" s="31">
        <v>46136</v>
      </c>
      <c r="H16" s="31">
        <v>46137</v>
      </c>
      <c r="I16" s="31">
        <v>46138</v>
      </c>
      <c r="J16" s="31">
        <v>46139</v>
      </c>
      <c r="K16" s="31">
        <v>46140</v>
      </c>
      <c r="L16" s="31">
        <v>46141</v>
      </c>
      <c r="M16" s="31">
        <v>46142</v>
      </c>
      <c r="N16" s="31">
        <v>46143</v>
      </c>
      <c r="O16" s="31">
        <v>46144</v>
      </c>
      <c r="P16" s="31">
        <v>46145</v>
      </c>
      <c r="Q16" s="31">
        <v>46146</v>
      </c>
      <c r="R16" s="31">
        <v>46147</v>
      </c>
      <c r="S16" s="31">
        <v>46148</v>
      </c>
      <c r="T16" s="31">
        <v>46149</v>
      </c>
      <c r="U16" s="31">
        <v>46150</v>
      </c>
      <c r="V16" s="31">
        <v>46151</v>
      </c>
      <c r="W16" s="31">
        <v>46152</v>
      </c>
      <c r="X16" s="31">
        <v>46153</v>
      </c>
      <c r="Y16" s="16"/>
      <c r="Z16" s="16"/>
      <c r="AA16" s="16"/>
    </row>
    <row r="17" spans="1:24" ht="19.95" customHeight="1" x14ac:dyDescent="0.3">
      <c r="A17" s="58" t="s">
        <v>35</v>
      </c>
      <c r="B17" s="59" t="s">
        <v>36</v>
      </c>
      <c r="C17" s="60"/>
      <c r="D17" s="44" t="s">
        <v>17</v>
      </c>
      <c r="E17" s="45">
        <v>10</v>
      </c>
      <c r="F17" s="45">
        <v>10</v>
      </c>
      <c r="G17" s="18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</row>
    <row r="18" spans="1:24" ht="19.95" customHeight="1" x14ac:dyDescent="0.3">
      <c r="A18" s="58"/>
      <c r="B18" s="59" t="s">
        <v>37</v>
      </c>
      <c r="C18" s="60"/>
      <c r="D18" s="45" t="s">
        <v>22</v>
      </c>
      <c r="E18" s="45">
        <v>4</v>
      </c>
      <c r="F18" s="45">
        <v>4</v>
      </c>
      <c r="G18" s="45">
        <v>4</v>
      </c>
      <c r="H18" s="18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</row>
    <row r="19" spans="1:24" ht="19.95" customHeight="1" x14ac:dyDescent="0.3">
      <c r="A19" s="58"/>
      <c r="B19" s="60" t="s">
        <v>38</v>
      </c>
      <c r="C19" s="61"/>
      <c r="D19" s="54" t="s">
        <v>23</v>
      </c>
      <c r="E19" s="54">
        <v>4</v>
      </c>
      <c r="F19" s="45">
        <v>4</v>
      </c>
      <c r="G19" s="45">
        <v>4</v>
      </c>
      <c r="H19" s="18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</row>
    <row r="20" spans="1:24" ht="19.95" customHeight="1" x14ac:dyDescent="0.3">
      <c r="A20" s="58"/>
      <c r="B20" s="58" t="s">
        <v>39</v>
      </c>
      <c r="C20" s="51" t="s">
        <v>198</v>
      </c>
      <c r="D20" s="45" t="s">
        <v>22</v>
      </c>
      <c r="E20" s="45">
        <v>5</v>
      </c>
      <c r="F20" s="45">
        <v>4</v>
      </c>
      <c r="G20" s="45">
        <v>4</v>
      </c>
      <c r="H20" s="45">
        <v>4</v>
      </c>
      <c r="I20" s="18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</row>
    <row r="21" spans="1:24" ht="19.95" customHeight="1" x14ac:dyDescent="0.3">
      <c r="A21" s="58"/>
      <c r="B21" s="58"/>
      <c r="C21" s="51"/>
      <c r="D21" s="45"/>
      <c r="E21" s="45"/>
      <c r="F21" s="45"/>
      <c r="G21" s="45"/>
      <c r="H21" s="45"/>
      <c r="I21" s="21">
        <v>1</v>
      </c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 spans="1:24" ht="19.95" customHeight="1" x14ac:dyDescent="0.3">
      <c r="A22" s="58"/>
      <c r="B22" s="58"/>
      <c r="C22" s="51" t="s">
        <v>199</v>
      </c>
      <c r="D22" s="45" t="s">
        <v>49</v>
      </c>
      <c r="E22" s="45">
        <v>2</v>
      </c>
      <c r="F22" s="45">
        <v>2</v>
      </c>
      <c r="G22" s="45">
        <v>2</v>
      </c>
      <c r="H22" s="45">
        <v>2</v>
      </c>
      <c r="I22" s="18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</row>
    <row r="23" spans="1:24" ht="19.95" customHeight="1" x14ac:dyDescent="0.3">
      <c r="A23" s="58"/>
      <c r="B23" s="58"/>
      <c r="C23" s="51" t="s">
        <v>200</v>
      </c>
      <c r="D23" s="45" t="s">
        <v>40</v>
      </c>
      <c r="E23" s="45">
        <v>1</v>
      </c>
      <c r="F23" s="45">
        <v>1</v>
      </c>
      <c r="G23" s="45">
        <v>1</v>
      </c>
      <c r="H23" s="45">
        <v>1</v>
      </c>
      <c r="I23" s="18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</row>
    <row r="24" spans="1:24" ht="19.95" customHeight="1" x14ac:dyDescent="0.3">
      <c r="A24" s="58"/>
      <c r="B24" s="58"/>
      <c r="C24" s="51" t="s">
        <v>261</v>
      </c>
      <c r="D24" s="45" t="s">
        <v>40</v>
      </c>
      <c r="E24" s="45">
        <v>3</v>
      </c>
      <c r="F24" s="45">
        <v>2</v>
      </c>
      <c r="G24" s="45">
        <v>2</v>
      </c>
      <c r="H24" s="45">
        <v>2</v>
      </c>
      <c r="I24" s="18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</row>
    <row r="25" spans="1:24" ht="19.95" customHeight="1" x14ac:dyDescent="0.3">
      <c r="A25" s="58"/>
      <c r="B25" s="58"/>
      <c r="C25" s="51"/>
      <c r="D25" s="45"/>
      <c r="E25" s="45"/>
      <c r="F25" s="45"/>
      <c r="G25" s="45"/>
      <c r="H25" s="45"/>
      <c r="I25" s="21">
        <v>1</v>
      </c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spans="1:24" ht="19.95" customHeight="1" x14ac:dyDescent="0.3">
      <c r="A26" s="58"/>
      <c r="B26" s="58"/>
      <c r="C26" s="51" t="s">
        <v>201</v>
      </c>
      <c r="D26" s="45" t="s">
        <v>22</v>
      </c>
      <c r="E26" s="45">
        <v>3</v>
      </c>
      <c r="F26" s="45">
        <v>2</v>
      </c>
      <c r="G26" s="45">
        <v>2</v>
      </c>
      <c r="H26" s="45">
        <v>2</v>
      </c>
      <c r="I26" s="18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</row>
    <row r="27" spans="1:24" ht="19.95" customHeight="1" x14ac:dyDescent="0.3">
      <c r="A27" s="58"/>
      <c r="B27" s="58"/>
      <c r="C27" s="51"/>
      <c r="D27" s="45"/>
      <c r="E27" s="45"/>
      <c r="F27" s="45"/>
      <c r="G27" s="45"/>
      <c r="H27" s="45"/>
      <c r="I27" s="21">
        <v>1</v>
      </c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 spans="1:24" ht="19.95" customHeight="1" x14ac:dyDescent="0.3">
      <c r="A28" s="58"/>
      <c r="B28" s="58"/>
      <c r="C28" s="51" t="s">
        <v>202</v>
      </c>
      <c r="D28" s="45" t="s">
        <v>49</v>
      </c>
      <c r="E28" s="45">
        <v>3</v>
      </c>
      <c r="F28" s="45">
        <v>2</v>
      </c>
      <c r="G28" s="45">
        <v>2</v>
      </c>
      <c r="H28" s="45">
        <v>2</v>
      </c>
      <c r="I28" s="45">
        <v>2</v>
      </c>
      <c r="J28" s="18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</row>
    <row r="29" spans="1:24" ht="19.95" customHeight="1" x14ac:dyDescent="0.3">
      <c r="A29" s="58"/>
      <c r="B29" s="58"/>
      <c r="C29" s="51"/>
      <c r="D29" s="45"/>
      <c r="E29" s="45"/>
      <c r="F29" s="45"/>
      <c r="G29" s="45"/>
      <c r="H29" s="45"/>
      <c r="I29" s="45"/>
      <c r="J29" s="21">
        <v>1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 spans="1:24" ht="19.95" customHeight="1" x14ac:dyDescent="0.3">
      <c r="A30" s="58"/>
      <c r="B30" s="58"/>
      <c r="C30" s="51" t="s">
        <v>255</v>
      </c>
      <c r="D30" s="45" t="s">
        <v>43</v>
      </c>
      <c r="E30" s="45">
        <v>4</v>
      </c>
      <c r="F30" s="45">
        <v>3</v>
      </c>
      <c r="G30" s="45">
        <v>3</v>
      </c>
      <c r="H30" s="45">
        <v>3</v>
      </c>
      <c r="I30" s="45">
        <v>3</v>
      </c>
      <c r="J30" s="18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</row>
    <row r="31" spans="1:24" ht="19.95" customHeight="1" x14ac:dyDescent="0.3">
      <c r="A31" s="58"/>
      <c r="B31" s="58"/>
      <c r="C31" s="51"/>
      <c r="D31" s="45"/>
      <c r="E31" s="45"/>
      <c r="F31" s="45"/>
      <c r="G31" s="45"/>
      <c r="H31" s="45"/>
      <c r="I31" s="45"/>
      <c r="J31" s="21">
        <v>1</v>
      </c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 spans="1:24" ht="19.95" customHeight="1" x14ac:dyDescent="0.3">
      <c r="A32" s="58"/>
      <c r="B32" s="58"/>
      <c r="C32" s="51" t="s">
        <v>203</v>
      </c>
      <c r="D32" s="45" t="s">
        <v>43</v>
      </c>
      <c r="E32" s="45">
        <v>3</v>
      </c>
      <c r="F32" s="45">
        <v>1</v>
      </c>
      <c r="G32" s="45">
        <v>1</v>
      </c>
      <c r="H32" s="45">
        <v>1</v>
      </c>
      <c r="I32" s="45">
        <v>1</v>
      </c>
      <c r="J32" s="18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</row>
    <row r="33" spans="1:24" ht="19.95" customHeight="1" x14ac:dyDescent="0.3">
      <c r="A33" s="58"/>
      <c r="B33" s="58"/>
      <c r="C33" s="51"/>
      <c r="D33" s="45"/>
      <c r="E33" s="45"/>
      <c r="F33" s="45"/>
      <c r="G33" s="45"/>
      <c r="H33" s="45"/>
      <c r="I33" s="45"/>
      <c r="J33" s="21">
        <v>2</v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 spans="1:24" ht="19.95" customHeight="1" x14ac:dyDescent="0.3">
      <c r="A34" s="58"/>
      <c r="B34" s="58"/>
      <c r="C34" s="51" t="s">
        <v>204</v>
      </c>
      <c r="D34" s="45" t="s">
        <v>22</v>
      </c>
      <c r="E34" s="45">
        <v>2</v>
      </c>
      <c r="F34" s="45">
        <v>2</v>
      </c>
      <c r="G34" s="45">
        <v>2</v>
      </c>
      <c r="H34" s="45">
        <v>2</v>
      </c>
      <c r="I34" s="45">
        <v>2</v>
      </c>
      <c r="J34" s="18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</row>
    <row r="35" spans="1:24" ht="19.95" customHeight="1" x14ac:dyDescent="0.3">
      <c r="A35" s="58"/>
      <c r="B35" s="58"/>
      <c r="C35" s="51" t="s">
        <v>267</v>
      </c>
      <c r="D35" s="45" t="s">
        <v>40</v>
      </c>
      <c r="E35" s="45">
        <v>2</v>
      </c>
      <c r="F35" s="45">
        <v>1</v>
      </c>
      <c r="G35" s="45">
        <v>1</v>
      </c>
      <c r="H35" s="45">
        <v>1</v>
      </c>
      <c r="I35" s="45">
        <v>1</v>
      </c>
      <c r="J35" s="18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</row>
    <row r="36" spans="1:24" ht="19.95" customHeight="1" x14ac:dyDescent="0.3">
      <c r="A36" s="58"/>
      <c r="B36" s="58"/>
      <c r="C36" s="51"/>
      <c r="D36" s="45"/>
      <c r="E36" s="45"/>
      <c r="F36" s="45"/>
      <c r="G36" s="45"/>
      <c r="H36" s="45"/>
      <c r="I36" s="45"/>
      <c r="J36" s="21">
        <v>1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spans="1:24" ht="19.95" customHeight="1" x14ac:dyDescent="0.3">
      <c r="A37" s="58"/>
      <c r="B37" s="58"/>
      <c r="C37" s="52" t="s">
        <v>205</v>
      </c>
      <c r="D37" s="44" t="s">
        <v>252</v>
      </c>
      <c r="E37" s="45">
        <v>10</v>
      </c>
      <c r="F37" s="45">
        <v>10</v>
      </c>
      <c r="G37" s="45">
        <v>10</v>
      </c>
      <c r="H37" s="45">
        <v>10</v>
      </c>
      <c r="I37" s="45">
        <v>10</v>
      </c>
      <c r="J37" s="18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</row>
    <row r="38" spans="1:24" ht="19.95" customHeight="1" x14ac:dyDescent="0.3">
      <c r="A38" s="58"/>
      <c r="B38" s="63" t="s">
        <v>42</v>
      </c>
      <c r="C38" s="51" t="s">
        <v>206</v>
      </c>
      <c r="D38" s="44" t="s">
        <v>49</v>
      </c>
      <c r="E38" s="45">
        <v>2</v>
      </c>
      <c r="F38" s="45">
        <v>3</v>
      </c>
      <c r="G38" s="45">
        <v>3</v>
      </c>
      <c r="H38" s="45">
        <v>3</v>
      </c>
      <c r="I38" s="45">
        <v>3</v>
      </c>
      <c r="J38" s="45">
        <v>3</v>
      </c>
      <c r="K38" s="18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</row>
    <row r="39" spans="1:24" ht="19.95" customHeight="1" x14ac:dyDescent="0.3">
      <c r="A39" s="58"/>
      <c r="B39" s="63"/>
      <c r="C39" s="51"/>
      <c r="D39" s="44"/>
      <c r="E39" s="45"/>
      <c r="F39" s="45"/>
      <c r="G39" s="45"/>
      <c r="H39" s="45"/>
      <c r="I39" s="45"/>
      <c r="J39" s="45"/>
      <c r="K39" s="24">
        <v>1</v>
      </c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spans="1:24" ht="19.95" customHeight="1" x14ac:dyDescent="0.3">
      <c r="A40" s="58"/>
      <c r="B40" s="63"/>
      <c r="C40" s="51" t="s">
        <v>207</v>
      </c>
      <c r="D40" s="44" t="s">
        <v>49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18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</row>
    <row r="41" spans="1:24" ht="19.95" customHeight="1" x14ac:dyDescent="0.3">
      <c r="A41" s="58"/>
      <c r="B41" s="63"/>
      <c r="C41" s="51" t="s">
        <v>208</v>
      </c>
      <c r="D41" s="44" t="s">
        <v>50</v>
      </c>
      <c r="E41" s="45">
        <v>1</v>
      </c>
      <c r="F41" s="45">
        <v>1</v>
      </c>
      <c r="G41" s="45">
        <v>1</v>
      </c>
      <c r="H41" s="45">
        <v>1</v>
      </c>
      <c r="I41" s="45">
        <v>1</v>
      </c>
      <c r="J41" s="45">
        <v>1</v>
      </c>
      <c r="K41" s="18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</row>
    <row r="42" spans="1:24" ht="19.95" customHeight="1" x14ac:dyDescent="0.3">
      <c r="A42" s="58"/>
      <c r="B42" s="63"/>
      <c r="C42" s="51" t="s">
        <v>262</v>
      </c>
      <c r="D42" s="44" t="s">
        <v>22</v>
      </c>
      <c r="E42" s="45">
        <v>1</v>
      </c>
      <c r="F42" s="45">
        <v>1</v>
      </c>
      <c r="G42" s="45">
        <v>1</v>
      </c>
      <c r="H42" s="45">
        <v>1</v>
      </c>
      <c r="I42" s="45">
        <v>1</v>
      </c>
      <c r="J42" s="45">
        <v>1</v>
      </c>
      <c r="K42" s="18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</row>
    <row r="43" spans="1:24" ht="19.95" customHeight="1" x14ac:dyDescent="0.3">
      <c r="A43" s="58"/>
      <c r="B43" s="63"/>
      <c r="C43" s="51" t="s">
        <v>209</v>
      </c>
      <c r="D43" s="44" t="s">
        <v>50</v>
      </c>
      <c r="E43" s="45">
        <v>2</v>
      </c>
      <c r="F43" s="45">
        <v>2</v>
      </c>
      <c r="G43" s="45">
        <v>2</v>
      </c>
      <c r="H43" s="45">
        <v>2</v>
      </c>
      <c r="I43" s="45">
        <v>2</v>
      </c>
      <c r="J43" s="45">
        <v>2</v>
      </c>
      <c r="K43" s="18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</row>
    <row r="44" spans="1:24" ht="19.95" customHeight="1" x14ac:dyDescent="0.3">
      <c r="A44" s="58"/>
      <c r="B44" s="63"/>
      <c r="C44" s="51" t="s">
        <v>210</v>
      </c>
      <c r="D44" s="44" t="s">
        <v>22</v>
      </c>
      <c r="E44" s="45">
        <v>2</v>
      </c>
      <c r="F44" s="45">
        <v>2</v>
      </c>
      <c r="G44" s="45">
        <v>2</v>
      </c>
      <c r="H44" s="45">
        <v>2</v>
      </c>
      <c r="I44" s="45">
        <v>2</v>
      </c>
      <c r="J44" s="45">
        <v>2</v>
      </c>
      <c r="K44" s="45">
        <v>2</v>
      </c>
      <c r="L44" s="18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</row>
    <row r="45" spans="1:24" ht="19.95" customHeight="1" x14ac:dyDescent="0.3">
      <c r="A45" s="58"/>
      <c r="B45" s="63"/>
      <c r="C45" s="51" t="s">
        <v>256</v>
      </c>
      <c r="D45" s="44" t="s">
        <v>49</v>
      </c>
      <c r="E45" s="45">
        <v>3</v>
      </c>
      <c r="F45" s="45">
        <v>3</v>
      </c>
      <c r="G45" s="45">
        <v>3</v>
      </c>
      <c r="H45" s="45">
        <v>3</v>
      </c>
      <c r="I45" s="45">
        <v>3</v>
      </c>
      <c r="J45" s="45">
        <v>3</v>
      </c>
      <c r="K45" s="45">
        <v>3</v>
      </c>
      <c r="L45" s="18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</row>
    <row r="46" spans="1:24" ht="19.95" customHeight="1" x14ac:dyDescent="0.3">
      <c r="A46" s="58"/>
      <c r="B46" s="63"/>
      <c r="C46" s="51"/>
      <c r="D46" s="44"/>
      <c r="E46" s="45"/>
      <c r="F46" s="45"/>
      <c r="G46" s="45"/>
      <c r="H46" s="45"/>
      <c r="I46" s="45"/>
      <c r="J46" s="45"/>
      <c r="K46" s="45"/>
      <c r="L46" s="21">
        <v>1</v>
      </c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 spans="1:24" ht="19.95" customHeight="1" x14ac:dyDescent="0.3">
      <c r="A47" s="58"/>
      <c r="B47" s="63"/>
      <c r="C47" s="51" t="s">
        <v>211</v>
      </c>
      <c r="D47" s="44" t="s">
        <v>22</v>
      </c>
      <c r="E47" s="45">
        <v>2</v>
      </c>
      <c r="F47" s="45">
        <v>2</v>
      </c>
      <c r="G47" s="45">
        <v>2</v>
      </c>
      <c r="H47" s="45">
        <v>2</v>
      </c>
      <c r="I47" s="45">
        <v>2</v>
      </c>
      <c r="J47" s="45">
        <v>2</v>
      </c>
      <c r="K47" s="45">
        <v>2</v>
      </c>
      <c r="L47" s="18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</row>
    <row r="48" spans="1:24" ht="19.95" customHeight="1" x14ac:dyDescent="0.3">
      <c r="A48" s="58"/>
      <c r="B48" s="63"/>
      <c r="C48" s="51"/>
      <c r="D48" s="44"/>
      <c r="E48" s="45"/>
      <c r="F48" s="45"/>
      <c r="G48" s="45"/>
      <c r="H48" s="45"/>
      <c r="I48" s="45"/>
      <c r="J48" s="45"/>
      <c r="K48" s="45"/>
      <c r="L48" s="21">
        <v>3</v>
      </c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 spans="1:24" ht="19.95" customHeight="1" x14ac:dyDescent="0.3">
      <c r="A49" s="58"/>
      <c r="B49" s="63"/>
      <c r="C49" s="51" t="s">
        <v>212</v>
      </c>
      <c r="D49" s="44" t="s">
        <v>50</v>
      </c>
      <c r="E49" s="45">
        <v>2</v>
      </c>
      <c r="F49" s="45">
        <v>2</v>
      </c>
      <c r="G49" s="45">
        <v>2</v>
      </c>
      <c r="H49" s="45">
        <v>2</v>
      </c>
      <c r="I49" s="45">
        <v>2</v>
      </c>
      <c r="J49" s="45">
        <v>2</v>
      </c>
      <c r="K49" s="45">
        <v>2</v>
      </c>
      <c r="L49" s="18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</row>
    <row r="50" spans="1:24" ht="19.95" customHeight="1" x14ac:dyDescent="0.3">
      <c r="A50" s="58"/>
      <c r="B50" s="63"/>
      <c r="C50" s="51"/>
      <c r="D50" s="44"/>
      <c r="E50" s="45"/>
      <c r="F50" s="45"/>
      <c r="G50" s="45"/>
      <c r="H50" s="45"/>
      <c r="I50" s="45"/>
      <c r="J50" s="45"/>
      <c r="K50" s="45"/>
      <c r="L50" s="21">
        <v>1</v>
      </c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 spans="1:24" ht="19.95" customHeight="1" x14ac:dyDescent="0.3">
      <c r="A51" s="58"/>
      <c r="B51" s="63"/>
      <c r="C51" s="51" t="s">
        <v>268</v>
      </c>
      <c r="D51" s="44" t="s">
        <v>50</v>
      </c>
      <c r="E51" s="45">
        <v>2</v>
      </c>
      <c r="F51" s="45">
        <v>2</v>
      </c>
      <c r="G51" s="45">
        <v>2</v>
      </c>
      <c r="H51" s="45">
        <v>2</v>
      </c>
      <c r="I51" s="45">
        <v>2</v>
      </c>
      <c r="J51" s="45">
        <v>2</v>
      </c>
      <c r="K51" s="45">
        <v>2</v>
      </c>
      <c r="L51" s="18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</row>
    <row r="52" spans="1:24" ht="19.95" customHeight="1" x14ac:dyDescent="0.3">
      <c r="A52" s="58"/>
      <c r="B52" s="63"/>
      <c r="C52" s="51"/>
      <c r="D52" s="44"/>
      <c r="E52" s="45"/>
      <c r="F52" s="45"/>
      <c r="G52" s="45"/>
      <c r="H52" s="45"/>
      <c r="I52" s="45"/>
      <c r="J52" s="45"/>
      <c r="K52" s="45"/>
      <c r="L52" s="21">
        <v>1</v>
      </c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</row>
    <row r="53" spans="1:24" ht="19.95" customHeight="1" x14ac:dyDescent="0.3">
      <c r="A53" s="58"/>
      <c r="B53" s="63"/>
      <c r="C53" s="52" t="s">
        <v>213</v>
      </c>
      <c r="D53" s="44" t="s">
        <v>252</v>
      </c>
      <c r="E53" s="45">
        <v>10</v>
      </c>
      <c r="F53" s="45">
        <v>10</v>
      </c>
      <c r="G53" s="45">
        <v>10</v>
      </c>
      <c r="H53" s="45">
        <v>10</v>
      </c>
      <c r="I53" s="45">
        <v>10</v>
      </c>
      <c r="J53" s="45">
        <v>10</v>
      </c>
      <c r="K53" s="45">
        <v>10</v>
      </c>
      <c r="L53" s="18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</row>
    <row r="54" spans="1:24" ht="19.95" customHeight="1" x14ac:dyDescent="0.3">
      <c r="A54" s="58"/>
      <c r="B54" s="64" t="s">
        <v>11</v>
      </c>
      <c r="C54" s="51" t="s">
        <v>214</v>
      </c>
      <c r="D54" s="44" t="s">
        <v>43</v>
      </c>
      <c r="E54" s="45">
        <v>4</v>
      </c>
      <c r="F54" s="45">
        <v>4</v>
      </c>
      <c r="G54" s="45">
        <v>4</v>
      </c>
      <c r="H54" s="45">
        <v>4</v>
      </c>
      <c r="I54" s="45">
        <v>4</v>
      </c>
      <c r="J54" s="45">
        <v>4</v>
      </c>
      <c r="K54" s="45">
        <v>4</v>
      </c>
      <c r="L54" s="45">
        <v>4</v>
      </c>
      <c r="M54" s="18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</row>
    <row r="55" spans="1:24" ht="19.95" customHeight="1" x14ac:dyDescent="0.3">
      <c r="A55" s="58"/>
      <c r="B55" s="64"/>
      <c r="C55" s="51" t="s">
        <v>215</v>
      </c>
      <c r="D55" s="44" t="s">
        <v>40</v>
      </c>
      <c r="E55" s="45">
        <v>2</v>
      </c>
      <c r="F55" s="45">
        <v>2</v>
      </c>
      <c r="G55" s="45">
        <v>2</v>
      </c>
      <c r="H55" s="45">
        <v>2</v>
      </c>
      <c r="I55" s="45">
        <v>2</v>
      </c>
      <c r="J55" s="45">
        <v>2</v>
      </c>
      <c r="K55" s="45">
        <v>2</v>
      </c>
      <c r="L55" s="45">
        <v>2</v>
      </c>
      <c r="M55" s="18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</row>
    <row r="56" spans="1:24" ht="19.95" customHeight="1" x14ac:dyDescent="0.3">
      <c r="A56" s="58"/>
      <c r="B56" s="64"/>
      <c r="C56" s="51" t="s">
        <v>216</v>
      </c>
      <c r="D56" s="45" t="s">
        <v>43</v>
      </c>
      <c r="E56" s="45">
        <v>1</v>
      </c>
      <c r="F56" s="45">
        <v>1</v>
      </c>
      <c r="G56" s="45">
        <v>1</v>
      </c>
      <c r="H56" s="45">
        <v>1</v>
      </c>
      <c r="I56" s="45">
        <v>1</v>
      </c>
      <c r="J56" s="45">
        <v>1</v>
      </c>
      <c r="K56" s="45">
        <v>1</v>
      </c>
      <c r="L56" s="45">
        <v>1</v>
      </c>
      <c r="M56" s="18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</row>
    <row r="57" spans="1:24" ht="19.95" customHeight="1" x14ac:dyDescent="0.3">
      <c r="A57" s="58"/>
      <c r="B57" s="64"/>
      <c r="C57" s="51" t="s">
        <v>263</v>
      </c>
      <c r="D57" s="45" t="s">
        <v>40</v>
      </c>
      <c r="E57" s="45">
        <v>2</v>
      </c>
      <c r="F57" s="45">
        <v>2</v>
      </c>
      <c r="G57" s="45">
        <v>2</v>
      </c>
      <c r="H57" s="45">
        <v>2</v>
      </c>
      <c r="I57" s="45">
        <v>2</v>
      </c>
      <c r="J57" s="45">
        <v>2</v>
      </c>
      <c r="K57" s="45">
        <v>2</v>
      </c>
      <c r="L57" s="45">
        <v>2</v>
      </c>
      <c r="M57" s="45">
        <v>2</v>
      </c>
      <c r="N57" s="18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</row>
    <row r="58" spans="1:24" ht="19.95" customHeight="1" x14ac:dyDescent="0.3">
      <c r="A58" s="58"/>
      <c r="B58" s="64"/>
      <c r="C58" s="51" t="s">
        <v>217</v>
      </c>
      <c r="D58" s="45" t="s">
        <v>43</v>
      </c>
      <c r="E58" s="45">
        <v>3</v>
      </c>
      <c r="F58" s="45">
        <v>3</v>
      </c>
      <c r="G58" s="45">
        <v>3</v>
      </c>
      <c r="H58" s="45">
        <v>3</v>
      </c>
      <c r="I58" s="45">
        <v>3</v>
      </c>
      <c r="J58" s="45">
        <v>3</v>
      </c>
      <c r="K58" s="45">
        <v>3</v>
      </c>
      <c r="L58" s="45">
        <v>3</v>
      </c>
      <c r="M58" s="45">
        <v>3</v>
      </c>
      <c r="N58" s="18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0</v>
      </c>
      <c r="W58" s="47">
        <v>0</v>
      </c>
      <c r="X58" s="47">
        <v>0</v>
      </c>
    </row>
    <row r="59" spans="1:24" ht="19.95" customHeight="1" x14ac:dyDescent="0.3">
      <c r="A59" s="58"/>
      <c r="B59" s="64"/>
      <c r="C59" s="51" t="s">
        <v>218</v>
      </c>
      <c r="D59" s="45" t="s">
        <v>40</v>
      </c>
      <c r="E59" s="45">
        <v>2</v>
      </c>
      <c r="F59" s="45">
        <v>2</v>
      </c>
      <c r="G59" s="45">
        <v>2</v>
      </c>
      <c r="H59" s="45">
        <v>2</v>
      </c>
      <c r="I59" s="45">
        <v>2</v>
      </c>
      <c r="J59" s="45">
        <v>2</v>
      </c>
      <c r="K59" s="45">
        <v>2</v>
      </c>
      <c r="L59" s="45">
        <v>2</v>
      </c>
      <c r="M59" s="45">
        <v>2</v>
      </c>
      <c r="N59" s="18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</row>
    <row r="60" spans="1:24" ht="19.95" customHeight="1" x14ac:dyDescent="0.3">
      <c r="A60" s="58"/>
      <c r="B60" s="64"/>
      <c r="C60" s="51" t="s">
        <v>257</v>
      </c>
      <c r="D60" s="45" t="s">
        <v>43</v>
      </c>
      <c r="E60" s="45">
        <v>2</v>
      </c>
      <c r="F60" s="45">
        <v>2</v>
      </c>
      <c r="G60" s="45">
        <v>2</v>
      </c>
      <c r="H60" s="45">
        <v>2</v>
      </c>
      <c r="I60" s="45">
        <v>2</v>
      </c>
      <c r="J60" s="45">
        <v>2</v>
      </c>
      <c r="K60" s="45">
        <v>2</v>
      </c>
      <c r="L60" s="45">
        <v>2</v>
      </c>
      <c r="M60" s="45">
        <v>2</v>
      </c>
      <c r="N60" s="45">
        <v>2</v>
      </c>
      <c r="O60" s="18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v>0</v>
      </c>
      <c r="X60" s="47">
        <v>0</v>
      </c>
    </row>
    <row r="61" spans="1:24" ht="19.95" customHeight="1" x14ac:dyDescent="0.3">
      <c r="A61" s="58"/>
      <c r="B61" s="64"/>
      <c r="C61" s="51" t="s">
        <v>219</v>
      </c>
      <c r="D61" s="45" t="s">
        <v>40</v>
      </c>
      <c r="E61" s="45">
        <v>1</v>
      </c>
      <c r="F61" s="45">
        <v>1</v>
      </c>
      <c r="G61" s="45">
        <v>1</v>
      </c>
      <c r="H61" s="45">
        <v>1</v>
      </c>
      <c r="I61" s="45">
        <v>1</v>
      </c>
      <c r="J61" s="45">
        <v>1</v>
      </c>
      <c r="K61" s="45">
        <v>1</v>
      </c>
      <c r="L61" s="45">
        <v>1</v>
      </c>
      <c r="M61" s="45">
        <v>1</v>
      </c>
      <c r="N61" s="45">
        <v>1</v>
      </c>
      <c r="O61" s="18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</v>
      </c>
    </row>
    <row r="62" spans="1:24" ht="19.95" customHeight="1" x14ac:dyDescent="0.3">
      <c r="A62" s="58"/>
      <c r="B62" s="64"/>
      <c r="C62" s="51" t="s">
        <v>220</v>
      </c>
      <c r="D62" s="45" t="s">
        <v>43</v>
      </c>
      <c r="E62" s="45">
        <v>2</v>
      </c>
      <c r="F62" s="45">
        <v>2</v>
      </c>
      <c r="G62" s="45">
        <v>2</v>
      </c>
      <c r="H62" s="45">
        <v>2</v>
      </c>
      <c r="I62" s="45">
        <v>2</v>
      </c>
      <c r="J62" s="45">
        <v>2</v>
      </c>
      <c r="K62" s="45">
        <v>2</v>
      </c>
      <c r="L62" s="45">
        <v>2</v>
      </c>
      <c r="M62" s="45">
        <v>2</v>
      </c>
      <c r="N62" s="45">
        <v>2</v>
      </c>
      <c r="O62" s="18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</v>
      </c>
    </row>
    <row r="63" spans="1:24" ht="19.95" customHeight="1" x14ac:dyDescent="0.3">
      <c r="A63" s="58"/>
      <c r="B63" s="64"/>
      <c r="C63" s="51" t="s">
        <v>269</v>
      </c>
      <c r="D63" s="45" t="s">
        <v>40</v>
      </c>
      <c r="E63" s="45">
        <v>1</v>
      </c>
      <c r="F63" s="45">
        <v>1</v>
      </c>
      <c r="G63" s="45">
        <v>1</v>
      </c>
      <c r="H63" s="45">
        <v>1</v>
      </c>
      <c r="I63" s="45">
        <v>1</v>
      </c>
      <c r="J63" s="45">
        <v>1</v>
      </c>
      <c r="K63" s="45">
        <v>1</v>
      </c>
      <c r="L63" s="45">
        <v>1</v>
      </c>
      <c r="M63" s="45">
        <v>1</v>
      </c>
      <c r="N63" s="45">
        <v>1</v>
      </c>
      <c r="O63" s="18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</row>
    <row r="64" spans="1:24" ht="19.95" customHeight="1" x14ac:dyDescent="0.3">
      <c r="A64" s="58"/>
      <c r="B64" s="64"/>
      <c r="C64" s="51" t="s">
        <v>221</v>
      </c>
      <c r="D64" s="45" t="s">
        <v>43</v>
      </c>
      <c r="E64" s="45">
        <v>10</v>
      </c>
      <c r="F64" s="45">
        <v>5</v>
      </c>
      <c r="G64" s="45">
        <v>5</v>
      </c>
      <c r="H64" s="45">
        <v>5</v>
      </c>
      <c r="I64" s="45">
        <v>5</v>
      </c>
      <c r="J64" s="45">
        <v>5</v>
      </c>
      <c r="K64" s="45">
        <v>5</v>
      </c>
      <c r="L64" s="45">
        <v>5</v>
      </c>
      <c r="M64" s="45">
        <v>5</v>
      </c>
      <c r="N64" s="18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</v>
      </c>
    </row>
    <row r="65" spans="1:24" ht="19.95" customHeight="1" x14ac:dyDescent="0.3">
      <c r="A65" s="58"/>
      <c r="B65" s="64"/>
      <c r="C65" s="51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21">
        <v>5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</row>
    <row r="66" spans="1:24" ht="19.95" customHeight="1" x14ac:dyDescent="0.3">
      <c r="A66" s="58"/>
      <c r="B66" s="64"/>
      <c r="C66" s="51" t="s">
        <v>222</v>
      </c>
      <c r="D66" s="45" t="s">
        <v>40</v>
      </c>
      <c r="E66" s="45">
        <v>6</v>
      </c>
      <c r="F66" s="45">
        <v>3</v>
      </c>
      <c r="G66" s="45">
        <v>3</v>
      </c>
      <c r="H66" s="45">
        <v>3</v>
      </c>
      <c r="I66" s="45">
        <v>3</v>
      </c>
      <c r="J66" s="45">
        <v>3</v>
      </c>
      <c r="K66" s="45">
        <v>3</v>
      </c>
      <c r="L66" s="45">
        <v>3</v>
      </c>
      <c r="M66" s="45">
        <v>3</v>
      </c>
      <c r="N66" s="18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</row>
    <row r="67" spans="1:24" ht="19.95" customHeight="1" x14ac:dyDescent="0.3">
      <c r="A67" s="58"/>
      <c r="B67" s="64"/>
      <c r="C67" s="51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21">
        <v>3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 spans="1:24" ht="19.95" customHeight="1" x14ac:dyDescent="0.3">
      <c r="A68" s="58"/>
      <c r="B68" s="64"/>
      <c r="C68" s="51" t="s">
        <v>223</v>
      </c>
      <c r="D68" s="45" t="s">
        <v>43</v>
      </c>
      <c r="E68" s="45">
        <v>3</v>
      </c>
      <c r="F68" s="45">
        <v>1</v>
      </c>
      <c r="G68" s="45">
        <v>1</v>
      </c>
      <c r="H68" s="45">
        <v>1</v>
      </c>
      <c r="I68" s="45">
        <v>1</v>
      </c>
      <c r="J68" s="45">
        <v>1</v>
      </c>
      <c r="K68" s="45">
        <v>1</v>
      </c>
      <c r="L68" s="45">
        <v>1</v>
      </c>
      <c r="M68" s="45">
        <v>1</v>
      </c>
      <c r="N68" s="45">
        <v>1</v>
      </c>
      <c r="O68" s="18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</row>
    <row r="69" spans="1:24" ht="19.95" customHeight="1" x14ac:dyDescent="0.3">
      <c r="A69" s="58"/>
      <c r="B69" s="64"/>
      <c r="C69" s="51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21">
        <v>2</v>
      </c>
      <c r="P69" s="47"/>
      <c r="Q69" s="47"/>
      <c r="R69" s="47"/>
      <c r="S69" s="47"/>
      <c r="T69" s="47"/>
      <c r="U69" s="47"/>
      <c r="V69" s="47"/>
      <c r="W69" s="47"/>
      <c r="X69" s="47"/>
    </row>
    <row r="70" spans="1:24" ht="19.95" customHeight="1" x14ac:dyDescent="0.3">
      <c r="A70" s="58"/>
      <c r="B70" s="64"/>
      <c r="C70" s="51" t="s">
        <v>224</v>
      </c>
      <c r="D70" s="45" t="s">
        <v>40</v>
      </c>
      <c r="E70" s="45">
        <v>4</v>
      </c>
      <c r="F70" s="45">
        <v>2</v>
      </c>
      <c r="G70" s="45">
        <v>2</v>
      </c>
      <c r="H70" s="45">
        <v>2</v>
      </c>
      <c r="I70" s="45">
        <v>2</v>
      </c>
      <c r="J70" s="45">
        <v>2</v>
      </c>
      <c r="K70" s="45">
        <v>2</v>
      </c>
      <c r="L70" s="45">
        <v>2</v>
      </c>
      <c r="M70" s="45">
        <v>2</v>
      </c>
      <c r="N70" s="45">
        <v>2</v>
      </c>
      <c r="O70" s="18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0</v>
      </c>
      <c r="X70" s="47">
        <v>0</v>
      </c>
    </row>
    <row r="71" spans="1:24" ht="19.95" customHeight="1" x14ac:dyDescent="0.3">
      <c r="A71" s="58"/>
      <c r="B71" s="64"/>
      <c r="C71" s="51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21">
        <v>2</v>
      </c>
      <c r="P71" s="47"/>
      <c r="Q71" s="47"/>
      <c r="R71" s="47"/>
      <c r="S71" s="47"/>
      <c r="T71" s="47"/>
      <c r="U71" s="47"/>
      <c r="V71" s="47"/>
      <c r="W71" s="47"/>
      <c r="X71" s="47"/>
    </row>
    <row r="72" spans="1:24" ht="19.95" customHeight="1" x14ac:dyDescent="0.3">
      <c r="A72" s="58"/>
      <c r="B72" s="64"/>
      <c r="C72" s="51" t="s">
        <v>225</v>
      </c>
      <c r="D72" s="45" t="s">
        <v>43</v>
      </c>
      <c r="E72" s="45">
        <v>3</v>
      </c>
      <c r="F72" s="45">
        <v>3</v>
      </c>
      <c r="G72" s="45">
        <v>3</v>
      </c>
      <c r="H72" s="45">
        <v>3</v>
      </c>
      <c r="I72" s="45">
        <v>3</v>
      </c>
      <c r="J72" s="45">
        <v>3</v>
      </c>
      <c r="K72" s="45">
        <v>3</v>
      </c>
      <c r="L72" s="45">
        <v>3</v>
      </c>
      <c r="M72" s="45">
        <v>3</v>
      </c>
      <c r="N72" s="45">
        <v>3</v>
      </c>
      <c r="O72" s="18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</v>
      </c>
      <c r="U72" s="47">
        <v>0</v>
      </c>
      <c r="V72" s="47">
        <v>0</v>
      </c>
      <c r="W72" s="47">
        <v>0</v>
      </c>
      <c r="X72" s="47">
        <v>0</v>
      </c>
    </row>
    <row r="73" spans="1:24" ht="19.95" customHeight="1" x14ac:dyDescent="0.3">
      <c r="A73" s="58"/>
      <c r="B73" s="64"/>
      <c r="C73" s="51" t="s">
        <v>226</v>
      </c>
      <c r="D73" s="45" t="s">
        <v>40</v>
      </c>
      <c r="E73" s="45">
        <v>2</v>
      </c>
      <c r="F73" s="45">
        <v>2</v>
      </c>
      <c r="G73" s="45">
        <v>2</v>
      </c>
      <c r="H73" s="45">
        <v>2</v>
      </c>
      <c r="I73" s="45">
        <v>2</v>
      </c>
      <c r="J73" s="45">
        <v>2</v>
      </c>
      <c r="K73" s="45">
        <v>2</v>
      </c>
      <c r="L73" s="45">
        <v>2</v>
      </c>
      <c r="M73" s="45">
        <v>2</v>
      </c>
      <c r="N73" s="45">
        <v>2</v>
      </c>
      <c r="O73" s="45">
        <v>2</v>
      </c>
      <c r="P73" s="18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</row>
    <row r="74" spans="1:24" ht="19.95" customHeight="1" x14ac:dyDescent="0.3">
      <c r="A74" s="58"/>
      <c r="B74" s="64"/>
      <c r="C74" s="51" t="s">
        <v>227</v>
      </c>
      <c r="D74" s="45" t="s">
        <v>43</v>
      </c>
      <c r="E74" s="45">
        <v>3</v>
      </c>
      <c r="F74" s="45">
        <v>3</v>
      </c>
      <c r="G74" s="45">
        <v>3</v>
      </c>
      <c r="H74" s="45">
        <v>3</v>
      </c>
      <c r="I74" s="45">
        <v>3</v>
      </c>
      <c r="J74" s="45">
        <v>3</v>
      </c>
      <c r="K74" s="45">
        <v>3</v>
      </c>
      <c r="L74" s="45">
        <v>3</v>
      </c>
      <c r="M74" s="45">
        <v>3</v>
      </c>
      <c r="N74" s="45">
        <v>3</v>
      </c>
      <c r="O74" s="45">
        <v>3</v>
      </c>
      <c r="P74" s="18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</row>
    <row r="75" spans="1:24" ht="19.95" customHeight="1" x14ac:dyDescent="0.3">
      <c r="A75" s="58"/>
      <c r="B75" s="64"/>
      <c r="C75" s="51" t="s">
        <v>228</v>
      </c>
      <c r="D75" s="45" t="s">
        <v>40</v>
      </c>
      <c r="E75" s="45">
        <v>4</v>
      </c>
      <c r="F75" s="45">
        <v>2</v>
      </c>
      <c r="G75" s="45">
        <v>2</v>
      </c>
      <c r="H75" s="45">
        <v>2</v>
      </c>
      <c r="I75" s="45">
        <v>2</v>
      </c>
      <c r="J75" s="45">
        <v>2</v>
      </c>
      <c r="K75" s="45">
        <v>2</v>
      </c>
      <c r="L75" s="45">
        <v>2</v>
      </c>
      <c r="M75" s="45">
        <v>2</v>
      </c>
      <c r="N75" s="45">
        <v>2</v>
      </c>
      <c r="O75" s="45">
        <v>2</v>
      </c>
      <c r="P75" s="45">
        <v>2</v>
      </c>
      <c r="Q75" s="18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</row>
    <row r="76" spans="1:24" ht="19.95" customHeight="1" x14ac:dyDescent="0.3">
      <c r="A76" s="58"/>
      <c r="B76" s="64"/>
      <c r="C76" s="51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21">
        <v>2</v>
      </c>
      <c r="R76" s="47"/>
      <c r="S76" s="47"/>
      <c r="T76" s="47"/>
      <c r="U76" s="47"/>
      <c r="V76" s="47"/>
      <c r="W76" s="47"/>
      <c r="X76" s="47"/>
    </row>
    <row r="77" spans="1:24" ht="19.95" customHeight="1" x14ac:dyDescent="0.3">
      <c r="A77" s="58"/>
      <c r="B77" s="64"/>
      <c r="C77" s="51" t="s">
        <v>229</v>
      </c>
      <c r="D77" s="45" t="s">
        <v>43</v>
      </c>
      <c r="E77" s="45">
        <v>4</v>
      </c>
      <c r="F77" s="45">
        <v>2</v>
      </c>
      <c r="G77" s="45">
        <v>2</v>
      </c>
      <c r="H77" s="45">
        <v>2</v>
      </c>
      <c r="I77" s="45">
        <v>2</v>
      </c>
      <c r="J77" s="45">
        <v>2</v>
      </c>
      <c r="K77" s="45">
        <v>2</v>
      </c>
      <c r="L77" s="45">
        <v>2</v>
      </c>
      <c r="M77" s="45">
        <v>2</v>
      </c>
      <c r="N77" s="45">
        <v>2</v>
      </c>
      <c r="O77" s="45">
        <v>2</v>
      </c>
      <c r="P77" s="45">
        <v>2</v>
      </c>
      <c r="Q77" s="18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</row>
    <row r="78" spans="1:24" ht="19.95" customHeight="1" x14ac:dyDescent="0.3">
      <c r="A78" s="58"/>
      <c r="B78" s="64"/>
      <c r="C78" s="51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21">
        <v>2</v>
      </c>
      <c r="R78" s="47"/>
      <c r="S78" s="47"/>
      <c r="T78" s="47"/>
      <c r="U78" s="47"/>
      <c r="V78" s="47"/>
      <c r="W78" s="47"/>
      <c r="X78" s="47"/>
    </row>
    <row r="79" spans="1:24" ht="19.95" customHeight="1" x14ac:dyDescent="0.3">
      <c r="A79" s="58"/>
      <c r="B79" s="64"/>
      <c r="C79" s="51" t="s">
        <v>230</v>
      </c>
      <c r="D79" s="45" t="s">
        <v>40</v>
      </c>
      <c r="E79" s="45">
        <v>4</v>
      </c>
      <c r="F79" s="45">
        <v>2</v>
      </c>
      <c r="G79" s="45">
        <v>2</v>
      </c>
      <c r="H79" s="45">
        <v>2</v>
      </c>
      <c r="I79" s="45">
        <v>2</v>
      </c>
      <c r="J79" s="45">
        <v>2</v>
      </c>
      <c r="K79" s="45">
        <v>2</v>
      </c>
      <c r="L79" s="45">
        <v>2</v>
      </c>
      <c r="M79" s="45">
        <v>2</v>
      </c>
      <c r="N79" s="45">
        <v>2</v>
      </c>
      <c r="O79" s="45">
        <v>2</v>
      </c>
      <c r="P79" s="45">
        <v>2</v>
      </c>
      <c r="Q79" s="18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</row>
    <row r="80" spans="1:24" ht="19.95" customHeight="1" x14ac:dyDescent="0.3">
      <c r="A80" s="58"/>
      <c r="B80" s="64"/>
      <c r="C80" s="51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21">
        <v>2</v>
      </c>
      <c r="R80" s="47"/>
      <c r="S80" s="47"/>
      <c r="T80" s="47"/>
      <c r="U80" s="47"/>
      <c r="V80" s="47"/>
      <c r="W80" s="47"/>
      <c r="X80" s="47"/>
    </row>
    <row r="81" spans="1:24" ht="19.95" customHeight="1" x14ac:dyDescent="0.3">
      <c r="A81" s="58"/>
      <c r="B81" s="64"/>
      <c r="C81" s="52" t="s">
        <v>167</v>
      </c>
      <c r="D81" s="45" t="s">
        <v>252</v>
      </c>
      <c r="E81" s="45">
        <v>10</v>
      </c>
      <c r="F81" s="45">
        <v>10</v>
      </c>
      <c r="G81" s="45">
        <v>10</v>
      </c>
      <c r="H81" s="45">
        <v>10</v>
      </c>
      <c r="I81" s="45">
        <v>10</v>
      </c>
      <c r="J81" s="45">
        <v>10</v>
      </c>
      <c r="K81" s="45">
        <v>10</v>
      </c>
      <c r="L81" s="45">
        <v>10</v>
      </c>
      <c r="M81" s="45">
        <v>10</v>
      </c>
      <c r="N81" s="45">
        <v>10</v>
      </c>
      <c r="O81" s="45">
        <v>10</v>
      </c>
      <c r="P81" s="45">
        <v>10</v>
      </c>
      <c r="Q81" s="45">
        <v>10</v>
      </c>
      <c r="R81" s="18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</row>
    <row r="82" spans="1:24" ht="19.95" customHeight="1" x14ac:dyDescent="0.3">
      <c r="A82" s="58"/>
      <c r="B82" s="64" t="s">
        <v>12</v>
      </c>
      <c r="C82" s="51" t="s">
        <v>231</v>
      </c>
      <c r="D82" s="45" t="s">
        <v>49</v>
      </c>
      <c r="E82" s="45">
        <v>2.5</v>
      </c>
      <c r="F82" s="45">
        <v>1.5</v>
      </c>
      <c r="G82" s="45">
        <v>1.5</v>
      </c>
      <c r="H82" s="45">
        <v>1.5</v>
      </c>
      <c r="I82" s="45">
        <v>1.5</v>
      </c>
      <c r="J82" s="45">
        <v>1.5</v>
      </c>
      <c r="K82" s="45">
        <v>1.5</v>
      </c>
      <c r="L82" s="45">
        <v>1.5</v>
      </c>
      <c r="M82" s="45">
        <v>1.5</v>
      </c>
      <c r="N82" s="45">
        <v>1.5</v>
      </c>
      <c r="O82" s="45">
        <v>1.5</v>
      </c>
      <c r="P82" s="45">
        <v>1.5</v>
      </c>
      <c r="Q82" s="45">
        <v>1.5</v>
      </c>
      <c r="R82" s="45">
        <v>1.5</v>
      </c>
      <c r="S82" s="18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</row>
    <row r="83" spans="1:24" ht="19.95" customHeight="1" x14ac:dyDescent="0.3">
      <c r="A83" s="58"/>
      <c r="B83" s="64"/>
      <c r="C83" s="51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21">
        <v>1</v>
      </c>
      <c r="T83" s="47"/>
      <c r="U83" s="47"/>
      <c r="V83" s="47"/>
      <c r="W83" s="47"/>
      <c r="X83" s="47"/>
    </row>
    <row r="84" spans="1:24" ht="19.95" customHeight="1" x14ac:dyDescent="0.3">
      <c r="A84" s="58"/>
      <c r="B84" s="64"/>
      <c r="C84" s="51" t="s">
        <v>232</v>
      </c>
      <c r="D84" s="45" t="s">
        <v>50</v>
      </c>
      <c r="E84" s="45">
        <v>2</v>
      </c>
      <c r="F84" s="45">
        <v>1</v>
      </c>
      <c r="G84" s="45">
        <v>1</v>
      </c>
      <c r="H84" s="45">
        <v>1</v>
      </c>
      <c r="I84" s="45">
        <v>1</v>
      </c>
      <c r="J84" s="45">
        <v>1</v>
      </c>
      <c r="K84" s="45">
        <v>1</v>
      </c>
      <c r="L84" s="45">
        <v>1</v>
      </c>
      <c r="M84" s="45">
        <v>1</v>
      </c>
      <c r="N84" s="45">
        <v>1</v>
      </c>
      <c r="O84" s="45">
        <v>1</v>
      </c>
      <c r="P84" s="45">
        <v>1</v>
      </c>
      <c r="Q84" s="45">
        <v>1</v>
      </c>
      <c r="R84" s="45">
        <v>1</v>
      </c>
      <c r="S84" s="18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</row>
    <row r="85" spans="1:24" ht="19.95" customHeight="1" x14ac:dyDescent="0.3">
      <c r="A85" s="58"/>
      <c r="B85" s="64"/>
      <c r="C85" s="51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21">
        <v>1</v>
      </c>
      <c r="T85" s="47"/>
      <c r="U85" s="47"/>
      <c r="V85" s="47"/>
      <c r="W85" s="47"/>
      <c r="X85" s="47"/>
    </row>
    <row r="86" spans="1:24" ht="19.95" customHeight="1" x14ac:dyDescent="0.3">
      <c r="A86" s="58"/>
      <c r="B86" s="64"/>
      <c r="C86" s="51" t="s">
        <v>233</v>
      </c>
      <c r="D86" s="45" t="s">
        <v>49</v>
      </c>
      <c r="E86" s="45">
        <v>1.5</v>
      </c>
      <c r="F86" s="45">
        <v>0.5</v>
      </c>
      <c r="G86" s="45">
        <v>0.5</v>
      </c>
      <c r="H86" s="45">
        <v>0.5</v>
      </c>
      <c r="I86" s="45">
        <v>0.5</v>
      </c>
      <c r="J86" s="45">
        <v>0.5</v>
      </c>
      <c r="K86" s="45">
        <v>0.5</v>
      </c>
      <c r="L86" s="45">
        <v>0.5</v>
      </c>
      <c r="M86" s="45">
        <v>0.5</v>
      </c>
      <c r="N86" s="45">
        <v>0.5</v>
      </c>
      <c r="O86" s="45">
        <v>0.5</v>
      </c>
      <c r="P86" s="45">
        <v>0.5</v>
      </c>
      <c r="Q86" s="45">
        <v>0.5</v>
      </c>
      <c r="R86" s="45">
        <v>0.5</v>
      </c>
      <c r="S86" s="18">
        <v>0</v>
      </c>
      <c r="T86" s="47">
        <v>0</v>
      </c>
      <c r="U86" s="47">
        <v>0</v>
      </c>
      <c r="V86" s="47">
        <v>0</v>
      </c>
      <c r="W86" s="47">
        <v>0</v>
      </c>
      <c r="X86" s="47">
        <v>0</v>
      </c>
    </row>
    <row r="87" spans="1:24" ht="19.95" customHeight="1" x14ac:dyDescent="0.3">
      <c r="A87" s="58"/>
      <c r="B87" s="64"/>
      <c r="C87" s="51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21">
        <v>1</v>
      </c>
      <c r="T87" s="47"/>
      <c r="U87" s="47"/>
      <c r="V87" s="47"/>
      <c r="W87" s="47"/>
      <c r="X87" s="47"/>
    </row>
    <row r="88" spans="1:24" ht="19.95" customHeight="1" x14ac:dyDescent="0.3">
      <c r="A88" s="58"/>
      <c r="B88" s="64"/>
      <c r="C88" s="51" t="s">
        <v>264</v>
      </c>
      <c r="D88" s="45" t="s">
        <v>49</v>
      </c>
      <c r="E88" s="45">
        <v>1</v>
      </c>
      <c r="F88" s="45">
        <v>1</v>
      </c>
      <c r="G88" s="45">
        <v>1</v>
      </c>
      <c r="H88" s="45">
        <v>1</v>
      </c>
      <c r="I88" s="45">
        <v>1</v>
      </c>
      <c r="J88" s="45">
        <v>1</v>
      </c>
      <c r="K88" s="45">
        <v>1</v>
      </c>
      <c r="L88" s="45">
        <v>1</v>
      </c>
      <c r="M88" s="45">
        <v>1</v>
      </c>
      <c r="N88" s="45">
        <v>1</v>
      </c>
      <c r="O88" s="45">
        <v>1</v>
      </c>
      <c r="P88" s="45">
        <v>1</v>
      </c>
      <c r="Q88" s="45">
        <v>1</v>
      </c>
      <c r="R88" s="45">
        <v>1</v>
      </c>
      <c r="S88" s="18">
        <v>0</v>
      </c>
      <c r="T88" s="47">
        <v>0</v>
      </c>
      <c r="U88" s="47">
        <v>0</v>
      </c>
      <c r="V88" s="47">
        <v>0</v>
      </c>
      <c r="W88" s="47">
        <v>0</v>
      </c>
      <c r="X88" s="47">
        <v>0</v>
      </c>
    </row>
    <row r="89" spans="1:24" ht="19.95" customHeight="1" x14ac:dyDescent="0.3">
      <c r="A89" s="58"/>
      <c r="B89" s="64"/>
      <c r="C89" s="51" t="s">
        <v>234</v>
      </c>
      <c r="D89" s="45" t="s">
        <v>50</v>
      </c>
      <c r="E89" s="45">
        <v>1</v>
      </c>
      <c r="F89" s="45">
        <v>1</v>
      </c>
      <c r="G89" s="45">
        <v>1</v>
      </c>
      <c r="H89" s="45">
        <v>1</v>
      </c>
      <c r="I89" s="45">
        <v>1</v>
      </c>
      <c r="J89" s="45">
        <v>1</v>
      </c>
      <c r="K89" s="45">
        <v>1</v>
      </c>
      <c r="L89" s="45">
        <v>1</v>
      </c>
      <c r="M89" s="45">
        <v>1</v>
      </c>
      <c r="N89" s="45">
        <v>1</v>
      </c>
      <c r="O89" s="45">
        <v>1</v>
      </c>
      <c r="P89" s="45">
        <v>1</v>
      </c>
      <c r="Q89" s="45">
        <v>1</v>
      </c>
      <c r="R89" s="45">
        <v>1</v>
      </c>
      <c r="S89" s="18">
        <v>0</v>
      </c>
      <c r="T89" s="47">
        <v>0</v>
      </c>
      <c r="U89" s="47">
        <v>0</v>
      </c>
      <c r="V89" s="47">
        <v>0</v>
      </c>
      <c r="W89" s="47">
        <v>0</v>
      </c>
      <c r="X89" s="47">
        <v>0</v>
      </c>
    </row>
    <row r="90" spans="1:24" ht="19.95" customHeight="1" x14ac:dyDescent="0.3">
      <c r="A90" s="58"/>
      <c r="B90" s="64"/>
      <c r="C90" s="51" t="s">
        <v>235</v>
      </c>
      <c r="D90" s="45" t="s">
        <v>50</v>
      </c>
      <c r="E90" s="45">
        <v>1</v>
      </c>
      <c r="F90" s="45">
        <v>1</v>
      </c>
      <c r="G90" s="45">
        <v>1</v>
      </c>
      <c r="H90" s="45">
        <v>1</v>
      </c>
      <c r="I90" s="45">
        <v>1</v>
      </c>
      <c r="J90" s="45">
        <v>1</v>
      </c>
      <c r="K90" s="45">
        <v>1</v>
      </c>
      <c r="L90" s="45">
        <v>1</v>
      </c>
      <c r="M90" s="45">
        <v>1</v>
      </c>
      <c r="N90" s="45">
        <v>1</v>
      </c>
      <c r="O90" s="45">
        <v>1</v>
      </c>
      <c r="P90" s="45">
        <v>1</v>
      </c>
      <c r="Q90" s="45">
        <v>1</v>
      </c>
      <c r="R90" s="45">
        <v>1</v>
      </c>
      <c r="S90" s="18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</row>
    <row r="91" spans="1:24" ht="19.95" customHeight="1" x14ac:dyDescent="0.3">
      <c r="A91" s="58"/>
      <c r="B91" s="64"/>
      <c r="C91" s="51" t="s">
        <v>258</v>
      </c>
      <c r="D91" s="45" t="s">
        <v>22</v>
      </c>
      <c r="E91" s="45">
        <v>2.5</v>
      </c>
      <c r="F91" s="45">
        <v>1.5</v>
      </c>
      <c r="G91" s="45">
        <v>1.5</v>
      </c>
      <c r="H91" s="45">
        <v>1.5</v>
      </c>
      <c r="I91" s="45">
        <v>1.5</v>
      </c>
      <c r="J91" s="45">
        <v>1.5</v>
      </c>
      <c r="K91" s="45">
        <v>1.5</v>
      </c>
      <c r="L91" s="45">
        <v>1.5</v>
      </c>
      <c r="M91" s="45">
        <v>1.5</v>
      </c>
      <c r="N91" s="45">
        <v>1.5</v>
      </c>
      <c r="O91" s="45">
        <v>1.5</v>
      </c>
      <c r="P91" s="45">
        <v>1.5</v>
      </c>
      <c r="Q91" s="45">
        <v>1.5</v>
      </c>
      <c r="R91" s="45">
        <v>1.5</v>
      </c>
      <c r="S91" s="18">
        <v>0</v>
      </c>
      <c r="T91" s="47">
        <v>0</v>
      </c>
      <c r="U91" s="47">
        <v>0</v>
      </c>
      <c r="V91" s="47">
        <v>0</v>
      </c>
      <c r="W91" s="47">
        <v>0</v>
      </c>
      <c r="X91" s="47">
        <v>0</v>
      </c>
    </row>
    <row r="92" spans="1:24" ht="19.95" customHeight="1" x14ac:dyDescent="0.3">
      <c r="A92" s="58"/>
      <c r="B92" s="64"/>
      <c r="C92" s="51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21">
        <v>1</v>
      </c>
      <c r="T92" s="47"/>
      <c r="U92" s="47"/>
      <c r="V92" s="47"/>
      <c r="W92" s="47"/>
      <c r="X92" s="47"/>
    </row>
    <row r="93" spans="1:24" ht="19.95" customHeight="1" x14ac:dyDescent="0.3">
      <c r="A93" s="58"/>
      <c r="B93" s="64"/>
      <c r="C93" s="51" t="s">
        <v>236</v>
      </c>
      <c r="D93" s="45" t="s">
        <v>22</v>
      </c>
      <c r="E93" s="45">
        <v>1.5</v>
      </c>
      <c r="F93" s="45">
        <v>0.5</v>
      </c>
      <c r="G93" s="45">
        <v>0.5</v>
      </c>
      <c r="H93" s="45">
        <v>0.5</v>
      </c>
      <c r="I93" s="45">
        <v>0.5</v>
      </c>
      <c r="J93" s="45">
        <v>0.5</v>
      </c>
      <c r="K93" s="45">
        <v>0.5</v>
      </c>
      <c r="L93" s="45">
        <v>0.5</v>
      </c>
      <c r="M93" s="45">
        <v>0.5</v>
      </c>
      <c r="N93" s="45">
        <v>0.5</v>
      </c>
      <c r="O93" s="45">
        <v>0.5</v>
      </c>
      <c r="P93" s="45">
        <v>0.5</v>
      </c>
      <c r="Q93" s="45">
        <v>0.5</v>
      </c>
      <c r="R93" s="45">
        <v>0.5</v>
      </c>
      <c r="S93" s="18">
        <v>0</v>
      </c>
      <c r="T93" s="47">
        <v>0</v>
      </c>
      <c r="U93" s="47">
        <v>0</v>
      </c>
      <c r="V93" s="47">
        <v>0</v>
      </c>
      <c r="W93" s="47">
        <v>0</v>
      </c>
      <c r="X93" s="47">
        <v>0</v>
      </c>
    </row>
    <row r="94" spans="1:24" ht="19.95" customHeight="1" x14ac:dyDescent="0.3">
      <c r="A94" s="58"/>
      <c r="B94" s="64"/>
      <c r="C94" s="51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21">
        <v>1</v>
      </c>
      <c r="T94" s="47"/>
      <c r="U94" s="47"/>
      <c r="V94" s="47"/>
      <c r="W94" s="47"/>
      <c r="X94" s="47"/>
    </row>
    <row r="95" spans="1:24" ht="19.95" customHeight="1" x14ac:dyDescent="0.3">
      <c r="A95" s="58"/>
      <c r="B95" s="64"/>
      <c r="C95" s="51" t="s">
        <v>237</v>
      </c>
      <c r="D95" s="45" t="s">
        <v>49</v>
      </c>
      <c r="E95" s="45">
        <v>1</v>
      </c>
      <c r="F95" s="45">
        <v>1</v>
      </c>
      <c r="G95" s="45">
        <v>1</v>
      </c>
      <c r="H95" s="45">
        <v>1</v>
      </c>
      <c r="I95" s="45">
        <v>1</v>
      </c>
      <c r="J95" s="45">
        <v>1</v>
      </c>
      <c r="K95" s="45">
        <v>1</v>
      </c>
      <c r="L95" s="45">
        <v>1</v>
      </c>
      <c r="M95" s="45">
        <v>1</v>
      </c>
      <c r="N95" s="45">
        <v>1</v>
      </c>
      <c r="O95" s="45">
        <v>1</v>
      </c>
      <c r="P95" s="45">
        <v>1</v>
      </c>
      <c r="Q95" s="45">
        <v>1</v>
      </c>
      <c r="R95" s="45">
        <v>1</v>
      </c>
      <c r="S95" s="18">
        <v>0</v>
      </c>
      <c r="T95" s="47">
        <v>0</v>
      </c>
      <c r="U95" s="47">
        <v>0</v>
      </c>
      <c r="V95" s="47">
        <v>0</v>
      </c>
      <c r="W95" s="47">
        <v>0</v>
      </c>
      <c r="X95" s="47">
        <v>0</v>
      </c>
    </row>
    <row r="96" spans="1:24" ht="19.95" customHeight="1" x14ac:dyDescent="0.3">
      <c r="A96" s="58"/>
      <c r="B96" s="64"/>
      <c r="C96" s="51" t="s">
        <v>270</v>
      </c>
      <c r="D96" s="45" t="s">
        <v>49</v>
      </c>
      <c r="E96" s="45">
        <v>1</v>
      </c>
      <c r="F96" s="45">
        <v>1</v>
      </c>
      <c r="G96" s="45">
        <v>1</v>
      </c>
      <c r="H96" s="45">
        <v>1</v>
      </c>
      <c r="I96" s="45">
        <v>1</v>
      </c>
      <c r="J96" s="45">
        <v>1</v>
      </c>
      <c r="K96" s="45">
        <v>1</v>
      </c>
      <c r="L96" s="45">
        <v>1</v>
      </c>
      <c r="M96" s="45">
        <v>1</v>
      </c>
      <c r="N96" s="45">
        <v>1</v>
      </c>
      <c r="O96" s="45">
        <v>1</v>
      </c>
      <c r="P96" s="45">
        <v>1</v>
      </c>
      <c r="Q96" s="45">
        <v>1</v>
      </c>
      <c r="R96" s="45">
        <v>1</v>
      </c>
      <c r="S96" s="18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</row>
    <row r="97" spans="1:24" ht="19.95" customHeight="1" x14ac:dyDescent="0.3">
      <c r="A97" s="58"/>
      <c r="B97" s="64" t="s">
        <v>46</v>
      </c>
      <c r="C97" s="51" t="s">
        <v>238</v>
      </c>
      <c r="D97" s="45" t="s">
        <v>51</v>
      </c>
      <c r="E97" s="45">
        <v>1.5</v>
      </c>
      <c r="F97" s="45">
        <v>1.5</v>
      </c>
      <c r="G97" s="45">
        <v>1.5</v>
      </c>
      <c r="H97" s="45">
        <v>1.5</v>
      </c>
      <c r="I97" s="45">
        <v>1.5</v>
      </c>
      <c r="J97" s="45">
        <v>1.5</v>
      </c>
      <c r="K97" s="45">
        <v>1.5</v>
      </c>
      <c r="L97" s="45">
        <v>1.5</v>
      </c>
      <c r="M97" s="45">
        <v>1.5</v>
      </c>
      <c r="N97" s="45">
        <v>1.5</v>
      </c>
      <c r="O97" s="45">
        <v>1.5</v>
      </c>
      <c r="P97" s="45">
        <v>1.5</v>
      </c>
      <c r="Q97" s="45">
        <v>1.5</v>
      </c>
      <c r="R97" s="45">
        <v>1.5</v>
      </c>
      <c r="S97" s="45">
        <v>1.5</v>
      </c>
      <c r="T97" s="18">
        <v>0</v>
      </c>
      <c r="U97" s="47">
        <v>0</v>
      </c>
      <c r="V97" s="47">
        <v>0</v>
      </c>
      <c r="W97" s="47">
        <v>0</v>
      </c>
      <c r="X97" s="47">
        <v>0</v>
      </c>
    </row>
    <row r="98" spans="1:24" ht="19.95" customHeight="1" x14ac:dyDescent="0.3">
      <c r="A98" s="58"/>
      <c r="B98" s="64"/>
      <c r="C98" s="51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18"/>
      <c r="U98" s="47"/>
      <c r="V98" s="47"/>
      <c r="W98" s="47"/>
      <c r="X98" s="47"/>
    </row>
    <row r="99" spans="1:24" ht="19.95" customHeight="1" x14ac:dyDescent="0.3">
      <c r="A99" s="58"/>
      <c r="B99" s="64"/>
      <c r="C99" s="51" t="s">
        <v>239</v>
      </c>
      <c r="D99" s="45" t="s">
        <v>51</v>
      </c>
      <c r="E99" s="45">
        <v>1</v>
      </c>
      <c r="F99" s="45">
        <v>1</v>
      </c>
      <c r="G99" s="45">
        <v>1</v>
      </c>
      <c r="H99" s="45">
        <v>1</v>
      </c>
      <c r="I99" s="45">
        <v>1</v>
      </c>
      <c r="J99" s="45">
        <v>1</v>
      </c>
      <c r="K99" s="45">
        <v>1</v>
      </c>
      <c r="L99" s="45">
        <v>1</v>
      </c>
      <c r="M99" s="45">
        <v>1</v>
      </c>
      <c r="N99" s="45">
        <v>1</v>
      </c>
      <c r="O99" s="45">
        <v>1</v>
      </c>
      <c r="P99" s="45">
        <v>1</v>
      </c>
      <c r="Q99" s="45">
        <v>1</v>
      </c>
      <c r="R99" s="45">
        <v>1</v>
      </c>
      <c r="S99" s="45">
        <v>1</v>
      </c>
      <c r="T99" s="18">
        <v>0</v>
      </c>
      <c r="U99" s="47">
        <v>0</v>
      </c>
      <c r="V99" s="47">
        <v>0</v>
      </c>
      <c r="W99" s="47">
        <v>0</v>
      </c>
      <c r="X99" s="47">
        <v>0</v>
      </c>
    </row>
    <row r="100" spans="1:24" ht="19.95" customHeight="1" x14ac:dyDescent="0.3">
      <c r="A100" s="58"/>
      <c r="B100" s="64"/>
      <c r="C100" s="51" t="s">
        <v>240</v>
      </c>
      <c r="D100" s="45" t="s">
        <v>51</v>
      </c>
      <c r="E100" s="45">
        <v>0.5</v>
      </c>
      <c r="F100" s="45">
        <v>0.5</v>
      </c>
      <c r="G100" s="45">
        <v>0.5</v>
      </c>
      <c r="H100" s="45">
        <v>0.5</v>
      </c>
      <c r="I100" s="45">
        <v>0.5</v>
      </c>
      <c r="J100" s="45">
        <v>0.5</v>
      </c>
      <c r="K100" s="45">
        <v>0.5</v>
      </c>
      <c r="L100" s="45">
        <v>0.5</v>
      </c>
      <c r="M100" s="45">
        <v>0.5</v>
      </c>
      <c r="N100" s="45">
        <v>0.5</v>
      </c>
      <c r="O100" s="45">
        <v>0.5</v>
      </c>
      <c r="P100" s="45">
        <v>0.5</v>
      </c>
      <c r="Q100" s="45">
        <v>0.5</v>
      </c>
      <c r="R100" s="45">
        <v>0.5</v>
      </c>
      <c r="S100" s="45">
        <v>0.5</v>
      </c>
      <c r="T100" s="18">
        <v>0</v>
      </c>
      <c r="U100" s="47">
        <v>0</v>
      </c>
      <c r="V100" s="47">
        <v>0</v>
      </c>
      <c r="W100" s="47">
        <v>0</v>
      </c>
      <c r="X100" s="47">
        <v>0</v>
      </c>
    </row>
    <row r="101" spans="1:24" ht="19.95" customHeight="1" x14ac:dyDescent="0.3">
      <c r="A101" s="58"/>
      <c r="B101" s="64"/>
      <c r="C101" s="51" t="s">
        <v>265</v>
      </c>
      <c r="D101" s="45" t="s">
        <v>51</v>
      </c>
      <c r="E101" s="45">
        <v>1</v>
      </c>
      <c r="F101" s="45">
        <v>1</v>
      </c>
      <c r="G101" s="45">
        <v>1</v>
      </c>
      <c r="H101" s="45">
        <v>1</v>
      </c>
      <c r="I101" s="45">
        <v>1</v>
      </c>
      <c r="J101" s="45">
        <v>1</v>
      </c>
      <c r="K101" s="45">
        <v>1</v>
      </c>
      <c r="L101" s="45">
        <v>1</v>
      </c>
      <c r="M101" s="45">
        <v>1</v>
      </c>
      <c r="N101" s="45">
        <v>1</v>
      </c>
      <c r="O101" s="45">
        <v>1</v>
      </c>
      <c r="P101" s="45">
        <v>1</v>
      </c>
      <c r="Q101" s="45">
        <v>1</v>
      </c>
      <c r="R101" s="45">
        <v>1</v>
      </c>
      <c r="S101" s="45">
        <v>1</v>
      </c>
      <c r="T101" s="18">
        <v>0</v>
      </c>
      <c r="U101" s="47">
        <v>0</v>
      </c>
      <c r="V101" s="47">
        <v>0</v>
      </c>
      <c r="W101" s="47">
        <v>0</v>
      </c>
      <c r="X101" s="47">
        <v>0</v>
      </c>
    </row>
    <row r="102" spans="1:24" ht="19.95" customHeight="1" x14ac:dyDescent="0.3">
      <c r="A102" s="58"/>
      <c r="B102" s="64"/>
      <c r="C102" s="51" t="s">
        <v>241</v>
      </c>
      <c r="D102" s="45" t="s">
        <v>51</v>
      </c>
      <c r="E102" s="45">
        <v>1</v>
      </c>
      <c r="F102" s="45">
        <v>1</v>
      </c>
      <c r="G102" s="45">
        <v>1</v>
      </c>
      <c r="H102" s="45">
        <v>1</v>
      </c>
      <c r="I102" s="45">
        <v>1</v>
      </c>
      <c r="J102" s="45">
        <v>1</v>
      </c>
      <c r="K102" s="45">
        <v>1</v>
      </c>
      <c r="L102" s="45">
        <v>1</v>
      </c>
      <c r="M102" s="45">
        <v>1</v>
      </c>
      <c r="N102" s="45">
        <v>1</v>
      </c>
      <c r="O102" s="45">
        <v>1</v>
      </c>
      <c r="P102" s="45">
        <v>1</v>
      </c>
      <c r="Q102" s="45">
        <v>1</v>
      </c>
      <c r="R102" s="45">
        <v>1</v>
      </c>
      <c r="S102" s="45">
        <v>1</v>
      </c>
      <c r="T102" s="18">
        <v>0</v>
      </c>
      <c r="U102" s="47">
        <v>0</v>
      </c>
      <c r="V102" s="47">
        <v>0</v>
      </c>
      <c r="W102" s="47">
        <v>0</v>
      </c>
      <c r="X102" s="47">
        <v>0</v>
      </c>
    </row>
    <row r="103" spans="1:24" ht="19.95" customHeight="1" x14ac:dyDescent="0.3">
      <c r="A103" s="58"/>
      <c r="B103" s="64"/>
      <c r="C103" s="51" t="s">
        <v>242</v>
      </c>
      <c r="D103" s="45" t="s">
        <v>51</v>
      </c>
      <c r="E103" s="45">
        <v>1</v>
      </c>
      <c r="F103" s="45">
        <v>1</v>
      </c>
      <c r="G103" s="45">
        <v>1</v>
      </c>
      <c r="H103" s="45">
        <v>1</v>
      </c>
      <c r="I103" s="45">
        <v>1</v>
      </c>
      <c r="J103" s="45">
        <v>1</v>
      </c>
      <c r="K103" s="45">
        <v>1</v>
      </c>
      <c r="L103" s="45">
        <v>1</v>
      </c>
      <c r="M103" s="45">
        <v>1</v>
      </c>
      <c r="N103" s="45">
        <v>1</v>
      </c>
      <c r="O103" s="45">
        <v>1</v>
      </c>
      <c r="P103" s="45">
        <v>1</v>
      </c>
      <c r="Q103" s="45">
        <v>1</v>
      </c>
      <c r="R103" s="45">
        <v>1</v>
      </c>
      <c r="S103" s="45">
        <v>1</v>
      </c>
      <c r="T103" s="45">
        <v>1</v>
      </c>
      <c r="U103" s="18">
        <v>0</v>
      </c>
      <c r="V103" s="47">
        <v>0</v>
      </c>
      <c r="W103" s="47">
        <v>0</v>
      </c>
      <c r="X103" s="47">
        <v>0</v>
      </c>
    </row>
    <row r="104" spans="1:24" ht="19.95" customHeight="1" x14ac:dyDescent="0.3">
      <c r="A104" s="58"/>
      <c r="B104" s="64"/>
      <c r="C104" s="51" t="s">
        <v>259</v>
      </c>
      <c r="D104" s="45" t="s">
        <v>51</v>
      </c>
      <c r="E104" s="45">
        <v>1.5</v>
      </c>
      <c r="F104" s="45">
        <v>1.5</v>
      </c>
      <c r="G104" s="45">
        <v>1.5</v>
      </c>
      <c r="H104" s="45">
        <v>1.5</v>
      </c>
      <c r="I104" s="45">
        <v>1.5</v>
      </c>
      <c r="J104" s="45">
        <v>1.5</v>
      </c>
      <c r="K104" s="45">
        <v>1.5</v>
      </c>
      <c r="L104" s="45">
        <v>1.5</v>
      </c>
      <c r="M104" s="45">
        <v>1.5</v>
      </c>
      <c r="N104" s="45">
        <v>1.5</v>
      </c>
      <c r="O104" s="45">
        <v>1.5</v>
      </c>
      <c r="P104" s="45">
        <v>1.5</v>
      </c>
      <c r="Q104" s="45">
        <v>1.5</v>
      </c>
      <c r="R104" s="45">
        <v>1.5</v>
      </c>
      <c r="S104" s="45">
        <v>1.5</v>
      </c>
      <c r="T104" s="45">
        <v>1.5</v>
      </c>
      <c r="U104" s="18">
        <v>0</v>
      </c>
      <c r="V104" s="47">
        <v>0</v>
      </c>
      <c r="W104" s="47">
        <v>0</v>
      </c>
      <c r="X104" s="47">
        <v>0</v>
      </c>
    </row>
    <row r="105" spans="1:24" ht="19.95" customHeight="1" x14ac:dyDescent="0.3">
      <c r="A105" s="58"/>
      <c r="B105" s="64"/>
      <c r="C105" s="51" t="s">
        <v>243</v>
      </c>
      <c r="D105" s="45" t="s">
        <v>51</v>
      </c>
      <c r="E105" s="45">
        <v>0.5</v>
      </c>
      <c r="F105" s="45">
        <v>0.5</v>
      </c>
      <c r="G105" s="45">
        <v>0.5</v>
      </c>
      <c r="H105" s="45">
        <v>0.5</v>
      </c>
      <c r="I105" s="45">
        <v>0.5</v>
      </c>
      <c r="J105" s="45">
        <v>0.5</v>
      </c>
      <c r="K105" s="45">
        <v>0.5</v>
      </c>
      <c r="L105" s="45">
        <v>0.5</v>
      </c>
      <c r="M105" s="45">
        <v>0.5</v>
      </c>
      <c r="N105" s="45">
        <v>0.5</v>
      </c>
      <c r="O105" s="45">
        <v>0.5</v>
      </c>
      <c r="P105" s="45">
        <v>0.5</v>
      </c>
      <c r="Q105" s="45">
        <v>0.5</v>
      </c>
      <c r="R105" s="45">
        <v>0.5</v>
      </c>
      <c r="S105" s="45">
        <v>0.5</v>
      </c>
      <c r="T105" s="45">
        <v>0.5</v>
      </c>
      <c r="U105" s="18">
        <v>0</v>
      </c>
      <c r="V105" s="47">
        <v>0</v>
      </c>
      <c r="W105" s="47">
        <v>0</v>
      </c>
      <c r="X105" s="47">
        <v>0</v>
      </c>
    </row>
    <row r="106" spans="1:24" ht="19.95" customHeight="1" x14ac:dyDescent="0.3">
      <c r="A106" s="58"/>
      <c r="B106" s="64"/>
      <c r="C106" s="51" t="s">
        <v>244</v>
      </c>
      <c r="D106" s="45" t="s">
        <v>51</v>
      </c>
      <c r="E106" s="45">
        <v>1</v>
      </c>
      <c r="F106" s="45">
        <v>1</v>
      </c>
      <c r="G106" s="45">
        <v>1</v>
      </c>
      <c r="H106" s="45">
        <v>1</v>
      </c>
      <c r="I106" s="45">
        <v>1</v>
      </c>
      <c r="J106" s="45">
        <v>1</v>
      </c>
      <c r="K106" s="45">
        <v>1</v>
      </c>
      <c r="L106" s="45">
        <v>1</v>
      </c>
      <c r="M106" s="45">
        <v>1</v>
      </c>
      <c r="N106" s="45">
        <v>1</v>
      </c>
      <c r="O106" s="45">
        <v>1</v>
      </c>
      <c r="P106" s="45">
        <v>1</v>
      </c>
      <c r="Q106" s="45">
        <v>1</v>
      </c>
      <c r="R106" s="45">
        <v>1</v>
      </c>
      <c r="S106" s="45">
        <v>1</v>
      </c>
      <c r="T106" s="45">
        <v>1</v>
      </c>
      <c r="U106" s="18">
        <v>0</v>
      </c>
      <c r="V106" s="47">
        <v>0</v>
      </c>
      <c r="W106" s="47">
        <v>0</v>
      </c>
      <c r="X106" s="47">
        <v>0</v>
      </c>
    </row>
    <row r="107" spans="1:24" ht="19.95" customHeight="1" x14ac:dyDescent="0.3">
      <c r="A107" s="58"/>
      <c r="B107" s="64"/>
      <c r="C107" s="51" t="s">
        <v>271</v>
      </c>
      <c r="D107" s="45" t="s">
        <v>51</v>
      </c>
      <c r="E107" s="45">
        <v>1</v>
      </c>
      <c r="F107" s="45">
        <v>1</v>
      </c>
      <c r="G107" s="45">
        <v>1</v>
      </c>
      <c r="H107" s="45">
        <v>1</v>
      </c>
      <c r="I107" s="45">
        <v>1</v>
      </c>
      <c r="J107" s="45">
        <v>1</v>
      </c>
      <c r="K107" s="45">
        <v>1</v>
      </c>
      <c r="L107" s="45">
        <v>1</v>
      </c>
      <c r="M107" s="45">
        <v>1</v>
      </c>
      <c r="N107" s="45">
        <v>1</v>
      </c>
      <c r="O107" s="45">
        <v>1</v>
      </c>
      <c r="P107" s="45">
        <v>1</v>
      </c>
      <c r="Q107" s="45">
        <v>1</v>
      </c>
      <c r="R107" s="45">
        <v>1</v>
      </c>
      <c r="S107" s="45">
        <v>1</v>
      </c>
      <c r="T107" s="45">
        <v>1</v>
      </c>
      <c r="U107" s="18">
        <v>0</v>
      </c>
      <c r="V107" s="47">
        <v>0</v>
      </c>
      <c r="W107" s="47">
        <v>0</v>
      </c>
      <c r="X107" s="47">
        <v>0</v>
      </c>
    </row>
    <row r="108" spans="1:24" ht="19.95" customHeight="1" x14ac:dyDescent="0.3">
      <c r="A108" s="58"/>
      <c r="B108" s="64" t="s">
        <v>16</v>
      </c>
      <c r="C108" s="51" t="s">
        <v>245</v>
      </c>
      <c r="D108" s="44" t="s">
        <v>49</v>
      </c>
      <c r="E108" s="45">
        <v>1.5</v>
      </c>
      <c r="F108" s="45">
        <v>1.5</v>
      </c>
      <c r="G108" s="45">
        <v>1.5</v>
      </c>
      <c r="H108" s="45">
        <v>1.5</v>
      </c>
      <c r="I108" s="45">
        <v>1.5</v>
      </c>
      <c r="J108" s="45">
        <v>1.5</v>
      </c>
      <c r="K108" s="45">
        <v>1.5</v>
      </c>
      <c r="L108" s="45">
        <v>1.5</v>
      </c>
      <c r="M108" s="45">
        <v>1.5</v>
      </c>
      <c r="N108" s="45">
        <v>1.5</v>
      </c>
      <c r="O108" s="45">
        <v>1.5</v>
      </c>
      <c r="P108" s="45">
        <v>1.5</v>
      </c>
      <c r="Q108" s="45">
        <v>1.5</v>
      </c>
      <c r="R108" s="45">
        <v>1.5</v>
      </c>
      <c r="S108" s="45">
        <v>1.5</v>
      </c>
      <c r="T108" s="45">
        <v>1.5</v>
      </c>
      <c r="U108" s="45">
        <v>1.5</v>
      </c>
      <c r="V108" s="18">
        <v>0</v>
      </c>
      <c r="W108" s="47">
        <v>0</v>
      </c>
      <c r="X108" s="47">
        <v>0</v>
      </c>
    </row>
    <row r="109" spans="1:24" ht="19.95" customHeight="1" x14ac:dyDescent="0.3">
      <c r="A109" s="58"/>
      <c r="B109" s="64"/>
      <c r="C109" s="51" t="s">
        <v>246</v>
      </c>
      <c r="D109" s="44" t="s">
        <v>50</v>
      </c>
      <c r="E109" s="45">
        <v>1</v>
      </c>
      <c r="F109" s="45">
        <v>1</v>
      </c>
      <c r="G109" s="45">
        <v>1</v>
      </c>
      <c r="H109" s="45">
        <v>1</v>
      </c>
      <c r="I109" s="45">
        <v>1</v>
      </c>
      <c r="J109" s="45">
        <v>1</v>
      </c>
      <c r="K109" s="45">
        <v>1</v>
      </c>
      <c r="L109" s="45">
        <v>1</v>
      </c>
      <c r="M109" s="45">
        <v>1</v>
      </c>
      <c r="N109" s="45">
        <v>1</v>
      </c>
      <c r="O109" s="45">
        <v>1</v>
      </c>
      <c r="P109" s="45">
        <v>1</v>
      </c>
      <c r="Q109" s="45">
        <v>1</v>
      </c>
      <c r="R109" s="45">
        <v>1</v>
      </c>
      <c r="S109" s="45">
        <v>1</v>
      </c>
      <c r="T109" s="45">
        <v>1</v>
      </c>
      <c r="U109" s="45">
        <v>1</v>
      </c>
      <c r="V109" s="18">
        <v>0</v>
      </c>
      <c r="W109" s="47">
        <v>0</v>
      </c>
      <c r="X109" s="47">
        <v>0</v>
      </c>
    </row>
    <row r="110" spans="1:24" ht="19.95" customHeight="1" x14ac:dyDescent="0.3">
      <c r="A110" s="58"/>
      <c r="B110" s="64"/>
      <c r="C110" s="51" t="s">
        <v>247</v>
      </c>
      <c r="D110" s="44" t="s">
        <v>49</v>
      </c>
      <c r="E110" s="45">
        <v>0.5</v>
      </c>
      <c r="F110" s="45">
        <v>0.5</v>
      </c>
      <c r="G110" s="45">
        <v>0.5</v>
      </c>
      <c r="H110" s="45">
        <v>0.5</v>
      </c>
      <c r="I110" s="45">
        <v>0.5</v>
      </c>
      <c r="J110" s="45">
        <v>0.5</v>
      </c>
      <c r="K110" s="45">
        <v>0.5</v>
      </c>
      <c r="L110" s="45">
        <v>0.5</v>
      </c>
      <c r="M110" s="45">
        <v>0.5</v>
      </c>
      <c r="N110" s="45">
        <v>0.5</v>
      </c>
      <c r="O110" s="45">
        <v>0.5</v>
      </c>
      <c r="P110" s="45">
        <v>0.5</v>
      </c>
      <c r="Q110" s="45">
        <v>0.5</v>
      </c>
      <c r="R110" s="45">
        <v>0.5</v>
      </c>
      <c r="S110" s="45">
        <v>0.5</v>
      </c>
      <c r="T110" s="45">
        <v>0.5</v>
      </c>
      <c r="U110" s="45">
        <v>0.5</v>
      </c>
      <c r="V110" s="18">
        <v>0</v>
      </c>
      <c r="W110" s="47">
        <v>0</v>
      </c>
      <c r="X110" s="47">
        <v>0</v>
      </c>
    </row>
    <row r="111" spans="1:24" ht="19.95" customHeight="1" x14ac:dyDescent="0.3">
      <c r="A111" s="58"/>
      <c r="B111" s="64"/>
      <c r="C111" s="51" t="s">
        <v>266</v>
      </c>
      <c r="D111" s="45" t="s">
        <v>49</v>
      </c>
      <c r="E111" s="45">
        <v>1</v>
      </c>
      <c r="F111" s="45">
        <v>1</v>
      </c>
      <c r="G111" s="45">
        <v>1</v>
      </c>
      <c r="H111" s="45">
        <v>1</v>
      </c>
      <c r="I111" s="45">
        <v>1</v>
      </c>
      <c r="J111" s="45">
        <v>1</v>
      </c>
      <c r="K111" s="45">
        <v>1</v>
      </c>
      <c r="L111" s="45">
        <v>1</v>
      </c>
      <c r="M111" s="45">
        <v>1</v>
      </c>
      <c r="N111" s="45">
        <v>1</v>
      </c>
      <c r="O111" s="45">
        <v>1</v>
      </c>
      <c r="P111" s="45">
        <v>1</v>
      </c>
      <c r="Q111" s="45">
        <v>1</v>
      </c>
      <c r="R111" s="45">
        <v>1</v>
      </c>
      <c r="S111" s="45">
        <v>1</v>
      </c>
      <c r="T111" s="45">
        <v>1</v>
      </c>
      <c r="U111" s="45">
        <v>1</v>
      </c>
      <c r="V111" s="18">
        <v>0</v>
      </c>
      <c r="W111" s="47">
        <v>0</v>
      </c>
      <c r="X111" s="47">
        <v>0</v>
      </c>
    </row>
    <row r="112" spans="1:24" ht="19.95" customHeight="1" x14ac:dyDescent="0.3">
      <c r="A112" s="58"/>
      <c r="B112" s="64"/>
      <c r="C112" s="51" t="s">
        <v>248</v>
      </c>
      <c r="D112" s="45" t="s">
        <v>50</v>
      </c>
      <c r="E112" s="45">
        <v>1</v>
      </c>
      <c r="F112" s="45">
        <v>1</v>
      </c>
      <c r="G112" s="45">
        <v>1</v>
      </c>
      <c r="H112" s="45">
        <v>1</v>
      </c>
      <c r="I112" s="45">
        <v>1</v>
      </c>
      <c r="J112" s="45">
        <v>1</v>
      </c>
      <c r="K112" s="45">
        <v>1</v>
      </c>
      <c r="L112" s="45">
        <v>1</v>
      </c>
      <c r="M112" s="45">
        <v>1</v>
      </c>
      <c r="N112" s="45">
        <v>1</v>
      </c>
      <c r="O112" s="45">
        <v>1</v>
      </c>
      <c r="P112" s="45">
        <v>1</v>
      </c>
      <c r="Q112" s="45">
        <v>1</v>
      </c>
      <c r="R112" s="45">
        <v>1</v>
      </c>
      <c r="S112" s="45">
        <v>1</v>
      </c>
      <c r="T112" s="45">
        <v>1</v>
      </c>
      <c r="U112" s="45">
        <v>1</v>
      </c>
      <c r="V112" s="18">
        <v>0</v>
      </c>
      <c r="W112" s="47">
        <v>0</v>
      </c>
      <c r="X112" s="47">
        <v>0</v>
      </c>
    </row>
    <row r="113" spans="1:24" ht="19.95" customHeight="1" x14ac:dyDescent="0.3">
      <c r="A113" s="58"/>
      <c r="B113" s="64"/>
      <c r="C113" s="51" t="s">
        <v>249</v>
      </c>
      <c r="D113" s="45" t="s">
        <v>50</v>
      </c>
      <c r="E113" s="45">
        <v>1</v>
      </c>
      <c r="F113" s="45">
        <v>1</v>
      </c>
      <c r="G113" s="45">
        <v>1</v>
      </c>
      <c r="H113" s="45">
        <v>1</v>
      </c>
      <c r="I113" s="45">
        <v>1</v>
      </c>
      <c r="J113" s="45">
        <v>1</v>
      </c>
      <c r="K113" s="45">
        <v>1</v>
      </c>
      <c r="L113" s="45">
        <v>1</v>
      </c>
      <c r="M113" s="45">
        <v>1</v>
      </c>
      <c r="N113" s="45">
        <v>1</v>
      </c>
      <c r="O113" s="45">
        <v>1</v>
      </c>
      <c r="P113" s="45">
        <v>1</v>
      </c>
      <c r="Q113" s="45">
        <v>1</v>
      </c>
      <c r="R113" s="45">
        <v>1</v>
      </c>
      <c r="S113" s="45">
        <v>1</v>
      </c>
      <c r="T113" s="45">
        <v>1</v>
      </c>
      <c r="U113" s="45">
        <v>1</v>
      </c>
      <c r="V113" s="45">
        <v>1</v>
      </c>
      <c r="W113" s="18">
        <v>0</v>
      </c>
      <c r="X113" s="47">
        <v>0</v>
      </c>
    </row>
    <row r="114" spans="1:24" ht="19.95" customHeight="1" x14ac:dyDescent="0.3">
      <c r="A114" s="58"/>
      <c r="B114" s="64"/>
      <c r="C114" s="51" t="s">
        <v>260</v>
      </c>
      <c r="D114" s="45" t="s">
        <v>22</v>
      </c>
      <c r="E114" s="12">
        <v>1.5</v>
      </c>
      <c r="F114" s="12">
        <v>1.5</v>
      </c>
      <c r="G114" s="12">
        <v>1.5</v>
      </c>
      <c r="H114" s="12">
        <v>1.5</v>
      </c>
      <c r="I114" s="12">
        <v>1.5</v>
      </c>
      <c r="J114" s="12">
        <v>1.5</v>
      </c>
      <c r="K114" s="12">
        <v>1.5</v>
      </c>
      <c r="L114" s="12">
        <v>1.5</v>
      </c>
      <c r="M114" s="12">
        <v>1.5</v>
      </c>
      <c r="N114" s="12">
        <v>1.5</v>
      </c>
      <c r="O114" s="12">
        <v>1.5</v>
      </c>
      <c r="P114" s="12">
        <v>1.5</v>
      </c>
      <c r="Q114" s="12">
        <v>1.5</v>
      </c>
      <c r="R114" s="12">
        <v>1.5</v>
      </c>
      <c r="S114" s="12">
        <v>1.5</v>
      </c>
      <c r="T114" s="12">
        <v>1.5</v>
      </c>
      <c r="U114" s="12">
        <v>1.5</v>
      </c>
      <c r="V114" s="12">
        <v>1.5</v>
      </c>
      <c r="W114" s="18">
        <v>0</v>
      </c>
      <c r="X114" s="47">
        <v>0</v>
      </c>
    </row>
    <row r="115" spans="1:24" ht="19.95" customHeight="1" x14ac:dyDescent="0.3">
      <c r="A115" s="58"/>
      <c r="B115" s="64"/>
      <c r="C115" s="51" t="s">
        <v>250</v>
      </c>
      <c r="D115" s="45" t="s">
        <v>22</v>
      </c>
      <c r="E115" s="12">
        <v>0.5</v>
      </c>
      <c r="F115" s="12">
        <v>0.5</v>
      </c>
      <c r="G115" s="12">
        <v>0.5</v>
      </c>
      <c r="H115" s="12">
        <v>0.5</v>
      </c>
      <c r="I115" s="12">
        <v>0.5</v>
      </c>
      <c r="J115" s="12">
        <v>0.5</v>
      </c>
      <c r="K115" s="12">
        <v>0.5</v>
      </c>
      <c r="L115" s="12">
        <v>0.5</v>
      </c>
      <c r="M115" s="12">
        <v>0.5</v>
      </c>
      <c r="N115" s="12">
        <v>0.5</v>
      </c>
      <c r="O115" s="12">
        <v>0.5</v>
      </c>
      <c r="P115" s="12">
        <v>0.5</v>
      </c>
      <c r="Q115" s="12">
        <v>0.5</v>
      </c>
      <c r="R115" s="12">
        <v>0.5</v>
      </c>
      <c r="S115" s="12">
        <v>0.5</v>
      </c>
      <c r="T115" s="12">
        <v>0.5</v>
      </c>
      <c r="U115" s="12">
        <v>0.5</v>
      </c>
      <c r="V115" s="12">
        <v>0.5</v>
      </c>
      <c r="W115" s="18">
        <v>0</v>
      </c>
      <c r="X115" s="47">
        <v>0</v>
      </c>
    </row>
    <row r="116" spans="1:24" ht="19.95" customHeight="1" x14ac:dyDescent="0.3">
      <c r="A116" s="58"/>
      <c r="B116" s="64"/>
      <c r="C116" s="51" t="s">
        <v>251</v>
      </c>
      <c r="D116" s="45" t="s">
        <v>49</v>
      </c>
      <c r="E116" s="12">
        <v>1</v>
      </c>
      <c r="F116" s="12">
        <v>1</v>
      </c>
      <c r="G116" s="12">
        <v>1</v>
      </c>
      <c r="H116" s="12">
        <v>1</v>
      </c>
      <c r="I116" s="12">
        <v>1</v>
      </c>
      <c r="J116" s="12">
        <v>1</v>
      </c>
      <c r="K116" s="12">
        <v>1</v>
      </c>
      <c r="L116" s="12">
        <v>1</v>
      </c>
      <c r="M116" s="12">
        <v>1</v>
      </c>
      <c r="N116" s="12">
        <v>1</v>
      </c>
      <c r="O116" s="12">
        <v>1</v>
      </c>
      <c r="P116" s="12">
        <v>1</v>
      </c>
      <c r="Q116" s="12">
        <v>1</v>
      </c>
      <c r="R116" s="12">
        <v>1</v>
      </c>
      <c r="S116" s="12">
        <v>1</v>
      </c>
      <c r="T116" s="12">
        <v>1</v>
      </c>
      <c r="U116" s="12">
        <v>1</v>
      </c>
      <c r="V116" s="12">
        <v>1</v>
      </c>
      <c r="W116" s="18">
        <v>0</v>
      </c>
      <c r="X116" s="47">
        <v>0</v>
      </c>
    </row>
    <row r="117" spans="1:24" ht="19.95" customHeight="1" x14ac:dyDescent="0.3">
      <c r="A117" s="58"/>
      <c r="B117" s="64"/>
      <c r="C117" s="51" t="s">
        <v>272</v>
      </c>
      <c r="D117" s="45" t="s">
        <v>49</v>
      </c>
      <c r="E117" s="12">
        <v>1</v>
      </c>
      <c r="F117" s="12">
        <v>1</v>
      </c>
      <c r="G117" s="12">
        <v>1</v>
      </c>
      <c r="H117" s="12">
        <v>1</v>
      </c>
      <c r="I117" s="12">
        <v>1</v>
      </c>
      <c r="J117" s="12">
        <v>1</v>
      </c>
      <c r="K117" s="12">
        <v>1</v>
      </c>
      <c r="L117" s="12">
        <v>1</v>
      </c>
      <c r="M117" s="12">
        <v>1</v>
      </c>
      <c r="N117" s="12">
        <v>1</v>
      </c>
      <c r="O117" s="12">
        <v>1</v>
      </c>
      <c r="P117" s="12">
        <v>1</v>
      </c>
      <c r="Q117" s="12">
        <v>1</v>
      </c>
      <c r="R117" s="12">
        <v>1</v>
      </c>
      <c r="S117" s="12">
        <v>1</v>
      </c>
      <c r="T117" s="12">
        <v>1</v>
      </c>
      <c r="U117" s="12">
        <v>1</v>
      </c>
      <c r="V117" s="12">
        <v>1</v>
      </c>
      <c r="W117" s="18">
        <v>0</v>
      </c>
      <c r="X117" s="47">
        <v>0</v>
      </c>
    </row>
    <row r="118" spans="1:24" ht="19.95" customHeight="1" x14ac:dyDescent="0.3">
      <c r="A118" s="58"/>
      <c r="B118" s="65" t="s">
        <v>13</v>
      </c>
      <c r="C118" s="15" t="s">
        <v>47</v>
      </c>
      <c r="D118" s="35" t="s">
        <v>17</v>
      </c>
      <c r="E118" s="55">
        <v>5</v>
      </c>
      <c r="F118" s="55">
        <v>5</v>
      </c>
      <c r="G118" s="55">
        <v>5</v>
      </c>
      <c r="H118" s="55">
        <v>5</v>
      </c>
      <c r="I118" s="55">
        <v>5</v>
      </c>
      <c r="J118" s="55">
        <v>5</v>
      </c>
      <c r="K118" s="55">
        <v>5</v>
      </c>
      <c r="L118" s="55">
        <v>5</v>
      </c>
      <c r="M118" s="55">
        <v>5</v>
      </c>
      <c r="N118" s="55">
        <v>5</v>
      </c>
      <c r="O118" s="55">
        <v>5</v>
      </c>
      <c r="P118" s="55">
        <v>5</v>
      </c>
      <c r="Q118" s="55">
        <v>5</v>
      </c>
      <c r="R118" s="55">
        <v>5</v>
      </c>
      <c r="S118" s="55">
        <v>5</v>
      </c>
      <c r="T118" s="55">
        <v>5</v>
      </c>
      <c r="U118" s="55">
        <v>5</v>
      </c>
      <c r="V118" s="55">
        <v>5</v>
      </c>
      <c r="W118" s="55">
        <v>5</v>
      </c>
      <c r="X118" s="18">
        <v>0</v>
      </c>
    </row>
    <row r="119" spans="1:24" ht="19.95" customHeight="1" x14ac:dyDescent="0.3">
      <c r="A119" s="58"/>
      <c r="B119" s="66"/>
      <c r="C119" s="36" t="s">
        <v>48</v>
      </c>
      <c r="D119" s="34" t="s">
        <v>17</v>
      </c>
      <c r="E119" s="44">
        <v>5</v>
      </c>
      <c r="F119" s="44">
        <v>5</v>
      </c>
      <c r="G119" s="44">
        <v>5</v>
      </c>
      <c r="H119" s="44">
        <v>5</v>
      </c>
      <c r="I119" s="44">
        <v>5</v>
      </c>
      <c r="J119" s="44">
        <v>5</v>
      </c>
      <c r="K119" s="44">
        <v>5</v>
      </c>
      <c r="L119" s="44">
        <v>5</v>
      </c>
      <c r="M119" s="44">
        <v>5</v>
      </c>
      <c r="N119" s="44">
        <v>5</v>
      </c>
      <c r="O119" s="44">
        <v>5</v>
      </c>
      <c r="P119" s="44">
        <v>5</v>
      </c>
      <c r="Q119" s="44">
        <v>5</v>
      </c>
      <c r="R119" s="44">
        <v>5</v>
      </c>
      <c r="S119" s="44">
        <v>5</v>
      </c>
      <c r="T119" s="44">
        <v>5</v>
      </c>
      <c r="U119" s="44">
        <v>5</v>
      </c>
      <c r="V119" s="44">
        <v>5</v>
      </c>
      <c r="W119" s="44">
        <v>5</v>
      </c>
      <c r="X119" s="18">
        <v>0</v>
      </c>
    </row>
    <row r="120" spans="1:24" ht="19.95" customHeight="1" x14ac:dyDescent="0.3">
      <c r="A120" s="58"/>
      <c r="B120" s="67" t="s">
        <v>10</v>
      </c>
      <c r="C120" s="67"/>
      <c r="D120" s="68" t="s">
        <v>9</v>
      </c>
      <c r="E120" s="69"/>
      <c r="F120" s="46">
        <f>SUM(E17:E119)</f>
        <v>203</v>
      </c>
      <c r="G120" s="13">
        <f>SUM(G17:G119)</f>
        <v>163</v>
      </c>
      <c r="H120" s="13">
        <f>SUM(H17:H119)</f>
        <v>155</v>
      </c>
      <c r="I120" s="13">
        <f>SUM(I17:I119)</f>
        <v>147</v>
      </c>
      <c r="J120" s="13">
        <f>SUM(J17:J119)</f>
        <v>130</v>
      </c>
      <c r="K120" s="13">
        <f>SUM(K17:K119)-K39-K39</f>
        <v>115</v>
      </c>
      <c r="L120" s="13">
        <f t="shared" ref="L120:X120" si="0">SUM(L17:L119)</f>
        <v>101</v>
      </c>
      <c r="M120" s="13">
        <f t="shared" si="0"/>
        <v>88</v>
      </c>
      <c r="N120" s="13">
        <f t="shared" si="0"/>
        <v>81</v>
      </c>
      <c r="O120" s="13">
        <f t="shared" si="0"/>
        <v>65</v>
      </c>
      <c r="P120" s="13">
        <f t="shared" si="0"/>
        <v>56</v>
      </c>
      <c r="Q120" s="13">
        <f t="shared" si="0"/>
        <v>56</v>
      </c>
      <c r="R120" s="13">
        <f t="shared" si="0"/>
        <v>40</v>
      </c>
      <c r="S120" s="13">
        <f t="shared" si="0"/>
        <v>35</v>
      </c>
      <c r="T120" s="13">
        <f t="shared" si="0"/>
        <v>25</v>
      </c>
      <c r="U120" s="13">
        <f t="shared" si="0"/>
        <v>20</v>
      </c>
      <c r="V120" s="13">
        <f t="shared" si="0"/>
        <v>15</v>
      </c>
      <c r="W120" s="13">
        <f t="shared" si="0"/>
        <v>10</v>
      </c>
      <c r="X120" s="13">
        <f t="shared" si="0"/>
        <v>0</v>
      </c>
    </row>
    <row r="121" spans="1:24" ht="19.95" customHeight="1" x14ac:dyDescent="0.3">
      <c r="A121" s="58"/>
      <c r="B121" s="67"/>
      <c r="C121" s="67"/>
      <c r="D121" s="68" t="s">
        <v>18</v>
      </c>
      <c r="E121" s="68"/>
      <c r="F121" s="13">
        <f>SUM(F17:F119)</f>
        <v>173</v>
      </c>
      <c r="G121" s="13">
        <f>SUM(G17:G119)</f>
        <v>163</v>
      </c>
      <c r="H121" s="13">
        <f>SUM(H17:H119)</f>
        <v>155</v>
      </c>
      <c r="I121" s="13">
        <f>SUM(I17:I119)-I27-I25-I21</f>
        <v>144</v>
      </c>
      <c r="J121" s="13">
        <f>SUM(J17:J119)-J36-J33-J31-J29</f>
        <v>125</v>
      </c>
      <c r="K121" s="13">
        <f>SUM(K17:K119)-K39</f>
        <v>116</v>
      </c>
      <c r="L121" s="13">
        <f>SUM(L17:L119)-L52-L50-L48-L46</f>
        <v>95</v>
      </c>
      <c r="M121" s="13">
        <f>SUM(M17:M119)</f>
        <v>88</v>
      </c>
      <c r="N121" s="13">
        <f>SUM(N17:N119)-N67-N65</f>
        <v>73</v>
      </c>
      <c r="O121" s="13">
        <f>SUM(O17:O119)-O71-O69</f>
        <v>61</v>
      </c>
      <c r="P121" s="13">
        <f>SUM(P17:P119)</f>
        <v>56</v>
      </c>
      <c r="Q121" s="13">
        <f>SUM(Q17:Q119)-Q80-Q78-Q76</f>
        <v>50</v>
      </c>
      <c r="R121" s="13">
        <f>SUM(R17:R119)</f>
        <v>40</v>
      </c>
      <c r="S121" s="13">
        <f>SUM(S17:S119)-S94-S92-S87-S85-S83</f>
        <v>30</v>
      </c>
      <c r="T121" s="13">
        <f>SUM(T17:T119)</f>
        <v>25</v>
      </c>
      <c r="U121" s="13">
        <f>SUM(U17:U119)</f>
        <v>20</v>
      </c>
      <c r="V121" s="13">
        <f>SUM(V17:V119)</f>
        <v>15</v>
      </c>
      <c r="W121" s="13">
        <f>SUM(W17:W119)</f>
        <v>10</v>
      </c>
      <c r="X121" s="13">
        <f>SUM(X17:X119)</f>
        <v>0</v>
      </c>
    </row>
    <row r="122" spans="1:24" ht="19.9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V122" s="1"/>
    </row>
    <row r="123" spans="1:24" ht="19.9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V123" s="1"/>
    </row>
    <row r="124" spans="1:24" ht="19.9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24" ht="19.9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1:24" ht="19.9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24" ht="19.9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1:24" ht="19.9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1:18" ht="19.9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1:18" ht="19.9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1:18" ht="19.9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spans="1:18" ht="19.9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1:18" ht="19.9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spans="1:18" ht="19.9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1:18" ht="19.9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spans="1:18" ht="19.9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1:18" ht="19.9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spans="1:18" ht="19.9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1:18" ht="19.9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1:18" ht="19.9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1:18" ht="19.9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1:18" ht="19.9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1:18" ht="19.9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spans="1:18" ht="19.9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spans="1:18" ht="19.9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spans="1:18" ht="19.9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spans="1:18" ht="19.9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spans="1:18" ht="19.9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spans="1:18" ht="19.9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 spans="1:18" ht="19.9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spans="1:18" ht="19.9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 spans="1:18" ht="19.9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spans="1:18" ht="19.9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 spans="1:18" ht="19.9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spans="1:18" ht="19.9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 spans="1:18" ht="19.9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1:18" ht="19.9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 spans="1:18" ht="19.9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1:18" ht="19.9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spans="1:18" ht="19.95" customHeight="1" x14ac:dyDescent="0.3">
      <c r="A160" s="1"/>
      <c r="B160" s="1"/>
      <c r="C160" s="1"/>
      <c r="D160" s="1"/>
      <c r="E160" s="1"/>
      <c r="F160" s="1"/>
      <c r="G160" s="1"/>
      <c r="H160" s="1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1:18" ht="19.95" customHeight="1" x14ac:dyDescent="0.3">
      <c r="A161" s="1"/>
      <c r="B161" s="1"/>
      <c r="C161" s="1"/>
      <c r="D161" s="1"/>
      <c r="E161" s="1"/>
      <c r="F161" s="1"/>
      <c r="G161" s="1"/>
      <c r="H161" s="1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spans="1:18" ht="19.95" customHeight="1" x14ac:dyDescent="0.3">
      <c r="A162" s="1"/>
      <c r="B162" s="1"/>
      <c r="C162" s="1"/>
      <c r="D162" s="1"/>
      <c r="E162" s="1"/>
      <c r="F162" s="1"/>
      <c r="G162" s="1"/>
      <c r="H162" s="1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1:18" ht="19.95" customHeight="1" x14ac:dyDescent="0.3">
      <c r="A163" s="1"/>
      <c r="B163" s="1"/>
      <c r="C163" s="1"/>
      <c r="D163" s="1"/>
      <c r="E163" s="1"/>
      <c r="F163" s="1"/>
      <c r="G163" s="1"/>
      <c r="H163" s="1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spans="1:18" ht="19.95" customHeight="1" x14ac:dyDescent="0.3">
      <c r="A164" s="1"/>
      <c r="B164" s="1"/>
      <c r="C164" s="1"/>
      <c r="D164" s="1"/>
      <c r="E164" s="1"/>
      <c r="F164" s="1"/>
      <c r="G164" s="1"/>
      <c r="H164" s="1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spans="1:18" ht="19.95" customHeight="1" x14ac:dyDescent="0.3">
      <c r="A165" s="1"/>
      <c r="B165" s="1"/>
      <c r="C165" s="1"/>
      <c r="D165" s="1"/>
      <c r="E165" s="1"/>
      <c r="F165" s="1"/>
      <c r="G165" s="1"/>
      <c r="H165" s="1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spans="1:18" ht="19.95" customHeight="1" x14ac:dyDescent="0.3">
      <c r="A166" s="1"/>
      <c r="B166" s="1"/>
      <c r="C166" s="1"/>
      <c r="D166" s="1"/>
      <c r="E166" s="1"/>
      <c r="F166" s="1"/>
      <c r="G166" s="1"/>
      <c r="H166" s="1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spans="1:18" ht="19.95" customHeight="1" x14ac:dyDescent="0.3">
      <c r="A167" s="1"/>
      <c r="B167" s="1"/>
      <c r="C167" s="1"/>
      <c r="D167" s="1"/>
      <c r="E167" s="1"/>
      <c r="F167" s="1"/>
      <c r="G167" s="1"/>
      <c r="H167" s="1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 spans="1:18" ht="19.95" customHeight="1" x14ac:dyDescent="0.3">
      <c r="A168" s="1"/>
      <c r="B168" s="1"/>
      <c r="C168" s="1"/>
      <c r="D168" s="1"/>
      <c r="E168" s="1"/>
      <c r="F168" s="1"/>
      <c r="G168" s="1"/>
      <c r="H168" s="1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spans="1:18" ht="19.95" customHeight="1" x14ac:dyDescent="0.3">
      <c r="A169" s="1"/>
      <c r="B169" s="1"/>
      <c r="C169" s="1"/>
      <c r="D169" s="1"/>
      <c r="E169" s="1"/>
      <c r="F169" s="1"/>
      <c r="G169" s="1"/>
      <c r="H169" s="1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 spans="1:18" ht="19.95" customHeight="1" x14ac:dyDescent="0.3">
      <c r="A170" s="1"/>
      <c r="B170" s="1"/>
      <c r="C170" s="1"/>
      <c r="D170" s="1"/>
      <c r="E170" s="1"/>
      <c r="F170" s="1"/>
      <c r="G170" s="1"/>
      <c r="H170" s="1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spans="1:18" ht="19.95" customHeight="1" x14ac:dyDescent="0.3">
      <c r="A171" s="1"/>
      <c r="B171" s="1"/>
      <c r="C171" s="1"/>
      <c r="D171" s="1"/>
      <c r="E171" s="1"/>
      <c r="F171" s="1"/>
      <c r="G171" s="1"/>
      <c r="H171" s="1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 spans="1:18" ht="19.95" customHeight="1" x14ac:dyDescent="0.3">
      <c r="A172" s="1"/>
      <c r="B172" s="1"/>
      <c r="C172" s="1"/>
      <c r="D172" s="1"/>
      <c r="E172" s="1"/>
      <c r="F172" s="1"/>
      <c r="G172" s="1"/>
      <c r="H172" s="1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spans="1:18" ht="19.95" customHeight="1" x14ac:dyDescent="0.3">
      <c r="A173" s="1"/>
      <c r="B173" s="1"/>
      <c r="C173" s="1"/>
      <c r="D173" s="1"/>
      <c r="E173" s="1"/>
      <c r="F173" s="1"/>
      <c r="G173" s="1"/>
      <c r="H173" s="1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 spans="1:18" ht="19.95" customHeight="1" x14ac:dyDescent="0.3">
      <c r="A174" s="1"/>
      <c r="B174" s="1"/>
      <c r="C174" s="1"/>
      <c r="D174" s="1"/>
      <c r="E174" s="1"/>
      <c r="F174" s="1"/>
      <c r="G174" s="1"/>
      <c r="H174" s="1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spans="1:18" ht="19.95" customHeight="1" x14ac:dyDescent="0.3">
      <c r="A175" s="1"/>
      <c r="B175" s="1"/>
      <c r="C175" s="1"/>
      <c r="D175" s="1"/>
      <c r="E175" s="1"/>
      <c r="F175" s="1"/>
      <c r="G175" s="1"/>
      <c r="H175" s="1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 spans="1:18" ht="19.95" customHeight="1" x14ac:dyDescent="0.3">
      <c r="A176" s="1"/>
      <c r="B176" s="1"/>
      <c r="C176" s="1"/>
      <c r="D176" s="1"/>
      <c r="E176" s="1"/>
      <c r="F176" s="1"/>
      <c r="G176" s="1"/>
      <c r="H176" s="1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spans="1:18" ht="19.95" customHeight="1" x14ac:dyDescent="0.3">
      <c r="A177" s="1"/>
      <c r="B177" s="1"/>
      <c r="C177" s="1"/>
      <c r="D177" s="1"/>
      <c r="E177" s="1"/>
      <c r="F177" s="1"/>
      <c r="G177" s="1"/>
      <c r="H177" s="1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spans="1:18" ht="19.95" customHeight="1" x14ac:dyDescent="0.3">
      <c r="A178" s="1"/>
      <c r="B178" s="1"/>
      <c r="C178" s="1"/>
      <c r="D178" s="1"/>
      <c r="E178" s="1"/>
      <c r="F178" s="1"/>
      <c r="G178" s="1"/>
      <c r="H178" s="1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1:18" ht="19.95" customHeight="1" x14ac:dyDescent="0.3">
      <c r="A179" s="1"/>
      <c r="B179" s="1"/>
      <c r="C179" s="1"/>
      <c r="D179" s="1"/>
      <c r="E179" s="1"/>
      <c r="F179" s="1"/>
      <c r="G179" s="1"/>
      <c r="H179" s="1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spans="1:18" ht="19.95" customHeight="1" x14ac:dyDescent="0.3">
      <c r="A180" s="1"/>
      <c r="B180" s="1"/>
      <c r="C180" s="1"/>
      <c r="D180" s="1"/>
      <c r="E180" s="1"/>
      <c r="F180" s="1"/>
      <c r="G180" s="1"/>
      <c r="H180" s="1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 spans="1:18" ht="19.95" customHeight="1" x14ac:dyDescent="0.3">
      <c r="A181" s="1"/>
      <c r="B181" s="1"/>
      <c r="C181" s="1"/>
      <c r="D181" s="1"/>
      <c r="E181" s="1"/>
      <c r="F181" s="1"/>
      <c r="G181" s="1"/>
      <c r="H181" s="1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 spans="1:18" ht="19.95" customHeight="1" x14ac:dyDescent="0.3">
      <c r="A182" s="1"/>
      <c r="B182" s="1"/>
      <c r="C182" s="1"/>
      <c r="D182" s="1"/>
      <c r="E182" s="1"/>
      <c r="F182" s="1"/>
      <c r="G182" s="1"/>
      <c r="H182" s="1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 spans="1:18" ht="19.95" customHeight="1" x14ac:dyDescent="0.3">
      <c r="A183" s="1"/>
      <c r="B183" s="1"/>
      <c r="C183" s="1"/>
      <c r="D183" s="1"/>
      <c r="E183" s="1"/>
      <c r="F183" s="1"/>
      <c r="G183" s="1"/>
      <c r="H183" s="1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 spans="1:18" ht="19.95" customHeight="1" x14ac:dyDescent="0.3">
      <c r="A184" s="1"/>
      <c r="B184" s="1"/>
      <c r="C184" s="1"/>
      <c r="D184" s="1"/>
      <c r="E184" s="1"/>
      <c r="F184" s="1"/>
      <c r="G184" s="1"/>
      <c r="H184" s="1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 spans="1:18" ht="19.95" customHeight="1" x14ac:dyDescent="0.3">
      <c r="A185" s="1"/>
      <c r="B185" s="1"/>
      <c r="C185" s="1"/>
      <c r="D185" s="1"/>
      <c r="E185" s="1"/>
      <c r="F185" s="1"/>
      <c r="G185" s="1"/>
      <c r="H185" s="1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 spans="1:18" ht="19.95" customHeight="1" x14ac:dyDescent="0.3">
      <c r="A186" s="1"/>
      <c r="B186" s="1"/>
      <c r="C186" s="1"/>
      <c r="D186" s="1"/>
      <c r="E186" s="1"/>
      <c r="F186" s="1"/>
      <c r="G186" s="1"/>
      <c r="H186" s="1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 spans="1:18" ht="19.95" customHeight="1" x14ac:dyDescent="0.3">
      <c r="A187" s="1"/>
      <c r="B187" s="1"/>
      <c r="C187" s="1"/>
      <c r="D187" s="1"/>
      <c r="E187" s="1"/>
      <c r="F187" s="1"/>
      <c r="G187" s="1"/>
      <c r="H187" s="1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 spans="1:18" ht="19.95" customHeight="1" x14ac:dyDescent="0.3">
      <c r="A188" s="1"/>
      <c r="B188" s="1"/>
      <c r="C188" s="1"/>
      <c r="D188" s="1"/>
      <c r="E188" s="1"/>
      <c r="F188" s="1"/>
      <c r="G188" s="1"/>
      <c r="H188" s="1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 spans="1:18" ht="19.95" customHeight="1" x14ac:dyDescent="0.3">
      <c r="A189" s="1"/>
      <c r="B189" s="1"/>
      <c r="C189" s="1"/>
      <c r="D189" s="1"/>
      <c r="E189" s="1"/>
      <c r="F189" s="1"/>
      <c r="G189" s="1"/>
      <c r="H189" s="1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 spans="1:18" ht="19.95" customHeight="1" x14ac:dyDescent="0.3">
      <c r="A190" s="1"/>
      <c r="B190" s="1"/>
      <c r="C190" s="1"/>
      <c r="D190" s="1"/>
      <c r="E190" s="1"/>
      <c r="F190" s="1"/>
      <c r="G190" s="1"/>
      <c r="H190" s="1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 spans="1:18" ht="19.95" customHeight="1" x14ac:dyDescent="0.3">
      <c r="A191" s="1"/>
      <c r="B191" s="1"/>
      <c r="C191" s="1"/>
      <c r="D191" s="1"/>
      <c r="E191" s="1"/>
      <c r="F191" s="1"/>
      <c r="G191" s="1"/>
      <c r="H191" s="1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 spans="1:18" ht="19.95" customHeight="1" x14ac:dyDescent="0.3">
      <c r="A192" s="1"/>
      <c r="B192" s="1"/>
      <c r="C192" s="1"/>
      <c r="D192" s="1"/>
      <c r="E192" s="1"/>
      <c r="F192" s="1"/>
      <c r="G192" s="1"/>
      <c r="H192" s="1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 spans="1:29" ht="19.95" customHeight="1" x14ac:dyDescent="0.3">
      <c r="A193" s="1"/>
      <c r="B193" s="1"/>
      <c r="C193" s="1"/>
      <c r="D193" s="1"/>
      <c r="E193" s="1"/>
      <c r="F193" s="1"/>
      <c r="G193" s="1"/>
      <c r="H193" s="1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 spans="1:29" ht="19.9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1:29" ht="19.9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1:29" ht="19.9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1:29" ht="19.9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1:29" ht="19.9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1:29" ht="19.9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1:29" ht="19.9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1:29" ht="19.9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1:29" ht="19.9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1:29" ht="19.9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1:29" ht="19.9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1:29" ht="19.9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spans="1:29" ht="19.9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1:29" ht="19.9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spans="1:29" ht="19.9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1:29" ht="19.9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1:29" ht="19.9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1:29" ht="19.9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1:29" ht="19.9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1:29" ht="19.9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1:29" ht="19.9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1:29" ht="19.9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spans="1:29" ht="19.9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29" ht="19.9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spans="1:29" ht="19.9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1:29" ht="19.9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1:29" ht="19.9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1:29" ht="19.9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1:29" ht="19.9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1:29" ht="19.9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1:29" ht="19.9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1:29" ht="19.9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1:29" ht="19.9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1:29" ht="19.9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1:29" ht="19.9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1:29" ht="19.9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1:29" ht="19.9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1:29" ht="19.9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spans="1:29" ht="19.9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1:29" ht="19.9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spans="1:29" ht="19.9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1:29" ht="19.9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1:29" ht="19.9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1:29" ht="19.9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1:29" ht="19.9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1:29" ht="19.9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1:29" ht="19.9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1:29" ht="19.9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1:29" ht="19.9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1:29" ht="19.9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1:29" ht="19.9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1:29" ht="19.9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1:29" ht="19.9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1:29" ht="19.9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1:29" ht="19.9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1:29" ht="19.9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1:29" ht="19.9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1:29" ht="19.9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1:29" ht="19.9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1:29" ht="19.9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1:29" ht="19.9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1:29" ht="19.9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1:29" ht="19.9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1:29" ht="19.9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1:29" ht="19.9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1:29" ht="19.9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1:29" ht="19.9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1:29" ht="19.9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1:29" ht="19.9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1:29" ht="19.9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1:29" ht="19.9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1:29" ht="19.9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1:29" ht="19.9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1:29" ht="19.9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1:29" ht="19.9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1:29" ht="19.9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1:29" ht="19.9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1:29" ht="19.9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1:29" ht="19.9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1:29" ht="19.9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1:29" ht="19.9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1:29" ht="19.9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1:29" ht="19.9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1:29" ht="19.9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1:29" ht="19.9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1:29" ht="19.9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1:29" ht="19.9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1:29" ht="19.9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1:29" ht="19.9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1:29" ht="19.9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1:29" ht="19.9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1:29" ht="19.9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1:29" ht="19.9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1:29" ht="19.9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1:29" ht="19.9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1:29" ht="19.9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1:29" ht="19.9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1:29" ht="19.9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1:29" ht="19.9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1:29" ht="19.9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1:29" ht="19.9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1:29" ht="19.9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1:29" ht="19.9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1:29" ht="19.9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1:29" ht="19.9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1:29" ht="19.9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1:29" ht="19.9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1:29" ht="19.9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1:29" ht="19.9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1:29" ht="19.9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1:29" ht="19.9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1:29" ht="19.9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1:29" ht="19.9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1:29" ht="19.9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1:29" ht="19.9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1:29" ht="19.9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1:29" ht="19.9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1:29" ht="19.9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1:29" ht="19.9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1:29" ht="19.9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1:29" ht="19.9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1:29" ht="19.9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1:29" ht="19.9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1:29" ht="19.9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1:29" ht="19.9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1:29" ht="19.9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1:29" ht="19.9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1:29" ht="19.9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1:29" ht="19.9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1:29" ht="19.9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1:29" ht="19.9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1:29" ht="19.9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1:29" ht="19.9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1:29" ht="19.9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1:29" ht="19.9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1:29" ht="19.9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1:29" ht="19.9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1:29" ht="19.9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1:29" ht="19.9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1:29" ht="19.9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1:29" ht="19.9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1:29" ht="19.9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1:29" ht="19.9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1:29" ht="19.9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1:29" ht="19.9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1:29" ht="19.9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1:29" ht="19.9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1:29" ht="19.9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1:29" ht="19.9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1:29" ht="19.9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1:29" ht="19.9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1:29" ht="19.9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1:29" ht="19.9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1:29" ht="19.9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1:29" ht="19.9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1:29" ht="19.9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1:29" ht="19.9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1:29" ht="19.9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1:29" ht="19.9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1:29" ht="19.9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1:29" ht="19.9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1:29" ht="19.9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1:29" ht="19.9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1:29" ht="19.9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1:29" ht="19.9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1:29" ht="19.9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1:29" ht="19.9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1:29" ht="19.9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1:29" ht="19.9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:29" ht="19.9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1:29" ht="19.9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1:29" ht="19.9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1:29" ht="19.9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spans="1:29" ht="19.9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spans="1:29" ht="19.9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spans="1:29" ht="19.9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spans="1:29" ht="19.9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spans="1:29" ht="19.9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spans="1:29" ht="19.9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spans="1:29" ht="19.9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spans="1:29" ht="19.9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spans="1:29" ht="19.9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spans="1:29" ht="19.9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spans="1:29" ht="19.9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spans="1:29" ht="19.9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spans="1:29" ht="19.9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spans="1:29" ht="19.9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spans="1:29" ht="19.9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spans="1:29" ht="19.9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spans="1:29" ht="19.9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spans="1:29" ht="19.9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spans="1:29" ht="19.9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spans="1:29" ht="19.9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spans="1:29" ht="19.9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spans="1:29" ht="19.9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spans="1:29" ht="19.9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spans="1:29" ht="19.9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spans="1:29" ht="19.9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spans="1:29" ht="19.9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spans="1:29" ht="19.9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spans="1:29" ht="19.9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spans="1:29" ht="19.9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spans="1:29" ht="19.9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spans="1:29" ht="19.9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spans="1:29" ht="19.9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spans="1:29" ht="19.9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spans="1:29" ht="19.9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spans="1:29" ht="19.9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spans="1:29" ht="19.9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spans="1:29" ht="19.9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spans="1:29" ht="19.9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spans="1:29" ht="19.9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spans="1:29" ht="19.9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spans="1:29" ht="19.9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spans="1:29" ht="19.9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spans="1:29" ht="19.9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spans="1:29" ht="19.9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spans="1:29" ht="19.9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spans="1:29" ht="19.9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spans="1:29" ht="19.9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spans="1:29" ht="19.9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spans="1:29" ht="19.9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spans="1:29" ht="19.9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spans="1:29" ht="19.9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spans="1:29" ht="19.9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spans="1:29" ht="19.9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spans="1:29" ht="19.9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spans="1:29" ht="19.9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spans="1:29" ht="19.9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spans="1:29" ht="19.9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spans="1:29" ht="19.9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spans="1:29" ht="19.9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spans="1:29" ht="19.9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spans="1:29" ht="19.9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spans="1:29" ht="19.9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spans="1:29" ht="19.9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spans="1:29" ht="19.9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spans="1:29" ht="19.9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spans="1:29" ht="19.9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spans="1:29" ht="19.9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spans="1:29" ht="19.9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spans="1:29" ht="19.9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spans="1:29" ht="19.9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spans="1:29" ht="19.9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spans="1:29" ht="19.9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spans="1:29" ht="19.9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spans="1:29" ht="19.9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spans="1:29" ht="19.9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spans="1:29" ht="19.9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spans="1:29" ht="19.9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spans="1:29" ht="19.9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spans="1:29" ht="19.9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spans="1:29" ht="19.9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spans="1:29" ht="19.9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spans="1:29" ht="19.9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spans="1:29" ht="19.9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spans="1:29" ht="19.9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spans="1:29" ht="19.9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spans="1:29" ht="19.9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spans="1:29" ht="19.9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spans="1:29" ht="19.9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spans="1:29" ht="19.9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spans="1:29" ht="19.9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spans="1:29" ht="19.9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spans="1:29" ht="19.9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spans="1:29" ht="19.9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spans="1:29" ht="19.9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spans="1:29" ht="19.9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spans="1:29" ht="19.9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spans="1:29" ht="19.9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spans="1:29" ht="19.9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spans="1:29" ht="19.9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spans="1:29" ht="19.9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spans="1:29" ht="19.9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spans="1:29" ht="19.9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spans="1:29" ht="19.9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spans="1:29" ht="19.9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spans="1:29" ht="19.9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spans="1:29" ht="19.9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spans="1:29" ht="19.9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spans="1:29" ht="19.9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spans="1:29" ht="19.9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spans="1:29" ht="19.9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spans="1:29" ht="19.9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spans="1:29" ht="19.9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spans="1:29" ht="19.9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spans="1:29" ht="19.9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spans="1:29" ht="19.9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spans="1:29" ht="19.9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spans="1:29" ht="19.9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spans="1:29" ht="19.9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spans="1:29" ht="19.9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spans="1:29" ht="19.9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spans="1:29" ht="19.9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spans="1:29" ht="19.9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spans="1:29" ht="19.9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spans="1:29" ht="19.9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spans="1:29" ht="19.9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spans="1:29" ht="19.9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spans="1:29" ht="19.9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spans="1:29" ht="19.9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spans="1:29" ht="19.9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spans="1:29" ht="19.9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spans="1:29" ht="19.9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spans="1:29" ht="19.9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spans="1:29" ht="19.9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spans="1:29" ht="19.9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spans="1:29" ht="19.9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spans="1:29" ht="19.9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spans="1:29" ht="19.9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spans="1:29" ht="19.9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spans="1:29" ht="19.9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spans="1:29" ht="19.9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spans="1:29" ht="19.9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spans="1:29" ht="19.9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spans="1:29" ht="19.9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spans="1:29" ht="19.9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spans="1:29" ht="19.9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spans="1:29" ht="19.9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spans="1:29" ht="19.9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spans="1:29" ht="19.9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spans="1:29" ht="19.9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spans="1:29" ht="19.9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spans="1:29" ht="19.9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spans="1:29" ht="19.9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spans="1:29" ht="19.9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spans="1:29" ht="19.9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spans="1:29" ht="19.9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spans="1:29" ht="19.9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spans="1:29" ht="19.9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spans="1:29" ht="19.9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spans="1:29" ht="19.9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spans="1:29" ht="19.9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spans="1:29" ht="19.9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spans="1:29" ht="19.9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spans="1:29" ht="19.9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spans="1:29" ht="19.9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spans="1:29" ht="19.9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spans="1:29" ht="19.9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spans="1:29" ht="19.9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spans="1:29" ht="19.9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spans="1:29" ht="19.9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spans="1:29" ht="19.9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spans="1:29" ht="19.9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spans="1:29" ht="19.9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spans="1:29" ht="19.9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spans="1:29" ht="19.9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spans="1:29" ht="19.9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spans="1:29" ht="19.9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spans="1:29" ht="19.9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spans="1:29" ht="19.9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spans="1:29" ht="19.9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spans="1:29" ht="19.9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spans="1:29" ht="19.9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spans="1:29" ht="19.9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spans="1:29" ht="19.9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spans="1:29" ht="19.9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spans="1:29" ht="19.9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spans="1:29" ht="19.9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spans="1:29" ht="19.9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spans="1:29" ht="19.9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spans="1:29" ht="19.9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spans="1:29" ht="19.9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spans="1:29" ht="19.9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spans="1:29" ht="19.9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spans="1:29" ht="19.9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spans="1:29" ht="19.9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spans="1:29" ht="19.9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spans="1:29" ht="19.9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spans="1:29" ht="19.9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spans="1:29" ht="19.9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spans="1:29" ht="19.9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spans="1:29" ht="19.9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spans="1:29" ht="19.9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spans="1:29" ht="19.9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spans="1:29" ht="19.9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spans="1:29" ht="19.9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spans="1:29" ht="19.9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spans="1:29" ht="19.9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spans="1:29" ht="19.9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spans="1:29" ht="19.9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spans="1:29" ht="19.9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spans="1:29" ht="19.9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spans="1:29" ht="19.9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spans="1:29" ht="19.9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spans="1:29" ht="19.9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spans="1:29" ht="19.9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spans="1:29" ht="19.9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spans="1:29" ht="19.9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spans="1:29" ht="19.9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spans="1:29" ht="19.9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spans="1:29" ht="19.9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spans="1:29" ht="19.9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spans="1:29" ht="19.9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spans="1:29" ht="19.9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spans="1:29" ht="19.9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spans="1:29" ht="19.9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spans="1:29" ht="19.9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spans="1:29" ht="19.9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spans="1:29" ht="19.9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spans="1:29" ht="19.9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spans="1:29" ht="19.9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spans="1:29" ht="19.9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spans="1:29" ht="19.9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spans="1:29" ht="19.9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spans="1:29" ht="19.9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spans="1:29" ht="19.9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spans="1:29" ht="19.9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spans="1:29" ht="19.9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spans="1:29" ht="19.9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spans="1:29" ht="19.9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spans="1:29" ht="19.9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spans="1:29" ht="19.9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spans="1:29" ht="19.9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spans="1:29" ht="19.9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spans="1:29" ht="19.9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spans="1:29" ht="19.9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spans="1:29" ht="19.9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spans="1:29" ht="19.9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spans="1:29" ht="19.9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spans="1:29" ht="19.9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spans="1:29" ht="19.9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spans="1:29" ht="19.9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spans="1:29" ht="19.9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spans="1:29" ht="19.9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9.9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9.9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9.9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9.9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9.9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9.9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9.9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9.9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9.9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9.9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9.9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9.9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9.9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9.9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9.9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9.9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9.9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9.9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9.9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spans="1:29" ht="19.9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spans="1:29" ht="19.9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spans="1:29" ht="19.9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spans="1:29" ht="19.9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spans="1:29" ht="19.9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spans="1:29" ht="19.9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spans="1:29" ht="19.9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spans="1:29" ht="19.9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spans="1:29" ht="19.9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spans="1:29" ht="19.9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spans="1:29" ht="19.9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spans="1:29" ht="19.9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spans="1:29" ht="19.9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spans="1:29" ht="19.9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spans="1:29" ht="19.9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spans="1:29" ht="19.9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spans="1:29" ht="19.9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spans="1:29" ht="19.9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spans="1:29" ht="19.9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spans="1:29" ht="19.9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spans="1:29" ht="19.9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spans="1:29" ht="19.9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spans="1:29" ht="19.9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spans="1:29" ht="19.9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spans="1:29" ht="19.9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spans="1:29" ht="19.9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spans="1:29" ht="19.9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spans="1:29" ht="19.9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spans="1:29" ht="19.9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spans="1:29" ht="19.9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spans="1:29" ht="19.9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spans="1:29" ht="19.9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spans="1:29" ht="19.9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spans="1:29" ht="19.9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spans="1:29" ht="19.9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spans="1:29" ht="19.9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spans="1:29" ht="19.9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spans="1:29" ht="19.9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spans="1:29" ht="19.9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spans="1:29" ht="19.9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spans="1:29" ht="19.9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spans="1:29" ht="19.9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spans="1:29" ht="19.9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spans="1:29" ht="19.9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spans="1:29" ht="19.9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spans="1:29" ht="19.9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spans="1:29" ht="19.9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spans="1:29" ht="19.9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spans="1:29" ht="19.9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spans="1:29" ht="19.9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spans="1:29" ht="19.9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spans="1:29" ht="19.9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spans="1:29" ht="19.9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spans="1:29" ht="19.9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spans="1:29" ht="19.9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spans="1:29" ht="19.9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spans="1:29" ht="19.9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spans="1:29" ht="19.9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spans="1:29" ht="19.9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spans="1:29" ht="19.9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spans="1:29" ht="19.9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spans="1:29" ht="19.9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spans="1:29" ht="19.9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spans="1:29" ht="19.9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spans="1:29" ht="19.9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spans="1:29" ht="19.9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spans="1:29" ht="19.9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spans="1:29" ht="19.9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spans="1:29" ht="19.9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spans="1:29" ht="19.9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spans="1:29" ht="19.9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spans="1:29" ht="19.9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spans="1:29" ht="19.9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spans="1:29" ht="19.9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spans="1:29" ht="19.9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spans="1:29" ht="19.9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spans="1:29" ht="19.9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spans="1:29" ht="19.9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spans="1:29" ht="19.9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spans="1:29" ht="19.9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spans="1:29" ht="19.9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spans="1:29" ht="19.9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spans="1:29" ht="19.9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spans="1:29" ht="19.9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spans="1:29" ht="19.9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spans="1:29" ht="19.9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spans="1:29" ht="19.9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spans="1:29" ht="19.9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spans="1:29" ht="19.9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spans="1:29" ht="19.9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spans="1:29" ht="19.9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spans="1:29" ht="19.9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spans="1:29" ht="19.9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spans="1:29" ht="19.9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spans="1:29" ht="19.9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spans="1:29" ht="19.9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spans="1:29" ht="19.9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spans="1:29" ht="19.9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spans="1:29" ht="19.9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spans="1:29" ht="19.9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spans="1:29" ht="19.9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spans="1:29" ht="19.9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spans="1:29" ht="19.9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spans="1:29" ht="19.9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spans="1:29" ht="19.9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spans="1:29" ht="19.9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spans="1:29" ht="19.9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spans="1:29" ht="19.9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spans="1:29" ht="19.9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spans="1:29" ht="19.9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spans="1:29" ht="19.9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spans="1:29" ht="19.9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spans="1:29" ht="19.9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spans="1:29" ht="19.9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spans="1:29" ht="19.9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spans="1:29" ht="19.9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spans="1:29" ht="19.9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spans="1:29" ht="19.9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spans="1:29" ht="19.9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spans="1:29" ht="19.9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spans="1:29" ht="19.9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spans="1:29" ht="19.9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spans="1:29" ht="19.9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spans="1:29" ht="19.9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spans="1:29" ht="19.9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spans="1:29" ht="19.9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spans="1:29" ht="19.9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spans="1:29" ht="19.9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spans="1:29" ht="19.9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spans="1:29" ht="19.9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spans="1:29" ht="19.9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spans="1:29" ht="19.9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spans="1:29" ht="19.9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spans="1:29" ht="19.9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spans="1:29" ht="19.9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spans="1:29" ht="19.9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spans="1:29" ht="19.9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spans="1:29" ht="19.9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spans="1:29" ht="19.9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spans="1:29" ht="19.9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spans="1:29" ht="19.9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spans="1:29" ht="19.9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spans="1:29" ht="19.9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spans="1:29" ht="19.9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spans="1:29" ht="19.9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spans="1:29" ht="19.9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spans="1:29" ht="19.9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spans="1:29" ht="19.9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spans="1:29" ht="19.9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spans="1:29" ht="19.9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spans="1:29" ht="19.9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spans="1:29" ht="19.9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spans="1:29" ht="19.9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spans="1:29" ht="19.9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spans="1:29" ht="19.9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spans="1:29" ht="19.9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spans="1:29" ht="19.9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spans="1:29" ht="19.9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spans="1:29" ht="19.9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spans="1:29" ht="19.9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spans="1:29" ht="19.9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spans="1:29" ht="19.9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spans="1:29" ht="19.9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spans="1:29" ht="19.9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spans="1:29" ht="19.9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spans="1:29" ht="19.9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spans="1:29" ht="19.9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spans="1:29" ht="19.9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spans="1:29" ht="19.9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spans="1:29" ht="19.9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spans="1:29" ht="19.9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spans="1:29" ht="19.9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spans="1:29" ht="19.9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spans="1:29" ht="19.9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spans="1:29" ht="19.9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spans="1:29" ht="19.9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spans="1:29" ht="19.9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spans="1:29" ht="19.9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spans="1:29" ht="19.9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spans="1:29" ht="19.9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spans="1:29" ht="19.9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spans="1:29" ht="19.9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spans="1:29" ht="19.9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spans="1:29" ht="19.9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spans="1:29" ht="19.9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spans="1:29" ht="19.9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spans="1:29" ht="19.9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spans="1:29" ht="19.9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spans="1:29" ht="19.9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spans="1:29" ht="19.9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spans="1:29" ht="19.9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spans="1:29" ht="19.9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spans="1:29" ht="19.9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spans="1:29" ht="19.9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spans="1:29" ht="19.9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spans="1:29" ht="19.9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spans="1:29" ht="19.9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spans="1:29" ht="19.9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spans="1:29" ht="19.9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spans="1:29" ht="19.9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spans="1:29" ht="19.9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spans="1:29" ht="19.9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spans="1:29" ht="19.9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spans="1:29" ht="19.9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spans="1:29" ht="19.9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spans="1:29" ht="19.9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spans="1:29" ht="19.9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spans="1:29" ht="19.9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spans="1:29" ht="19.9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spans="1:29" ht="19.9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spans="1:29" ht="19.9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spans="1:29" ht="19.9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spans="1:29" ht="19.9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spans="1:29" ht="19.9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spans="1:29" ht="19.9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spans="1:29" ht="19.9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spans="1:29" ht="19.9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spans="1:29" ht="19.9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spans="1:29" ht="19.9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spans="1:29" ht="19.9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spans="1:29" ht="19.9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spans="1:29" ht="19.9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spans="1:29" ht="19.9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spans="1:29" ht="19.9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spans="1:29" ht="19.9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spans="1:29" ht="19.9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spans="1:29" ht="19.9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spans="1:29" ht="19.9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spans="1:29" ht="19.9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spans="1:29" ht="19.9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spans="1:29" ht="19.9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spans="1:29" ht="19.9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spans="1:29" ht="19.9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spans="1:29" ht="19.9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spans="1:29" ht="19.9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spans="1:29" ht="19.9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spans="1:29" ht="19.9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spans="1:29" ht="19.9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spans="1:29" ht="19.9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spans="1:29" ht="19.9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spans="1:29" ht="19.9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spans="1:29" ht="19.9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spans="1:29" ht="19.9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spans="1:29" ht="19.9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spans="1:29" ht="19.9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spans="1:29" ht="19.9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spans="1:29" ht="19.9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spans="1:29" ht="19.9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spans="1:29" ht="19.9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spans="1:29" ht="19.9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spans="1:29" ht="19.9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spans="1:29" ht="19.9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spans="1:29" ht="19.9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spans="1:29" ht="19.9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spans="1:29" ht="19.9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spans="1:29" ht="19.9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spans="1:29" ht="19.9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spans="1:29" ht="19.9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spans="1:29" ht="19.9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spans="1:29" ht="19.9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spans="1:29" ht="19.9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spans="1:29" ht="19.9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spans="1:29" ht="19.9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spans="1:29" ht="19.9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spans="1:29" ht="19.9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spans="1:29" ht="19.9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spans="1:29" ht="19.9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spans="1:29" ht="19.9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spans="1:29" ht="19.9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spans="1:29" ht="19.9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spans="1:29" ht="19.9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spans="1:29" ht="19.9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spans="1:29" ht="19.9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spans="1:29" ht="19.9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spans="1:29" ht="19.9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spans="1:29" ht="19.9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spans="1:29" ht="19.9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spans="1:29" ht="19.9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ht="19.9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spans="1:29" ht="19.9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spans="1:29" ht="19.9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spans="1:29" ht="19.9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spans="1:29" ht="19.9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spans="1:29" ht="19.9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spans="1:29" ht="19.9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spans="1:29" ht="19.9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spans="1:29" ht="19.9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spans="1:29" ht="19.9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spans="1:29" ht="19.9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spans="1:29" ht="19.9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spans="1:29" ht="19.9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spans="1:29" ht="19.9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spans="1:29" ht="19.9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spans="1:29" ht="19.9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spans="1:29" ht="19.9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spans="1:29" ht="19.9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spans="1:29" ht="19.9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spans="1:29" ht="19.9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spans="1:29" ht="19.9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spans="1:29" ht="19.9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spans="1:29" ht="19.9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spans="1:29" ht="19.9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spans="1:29" ht="19.9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spans="1:29" ht="19.9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spans="1:29" ht="19.9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spans="1:29" ht="19.9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spans="1:29" ht="19.9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spans="1:29" ht="19.9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spans="1:29" ht="19.9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spans="1:29" ht="19.9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spans="1:29" ht="19.9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spans="1:29" ht="19.9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spans="1:29" ht="19.9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spans="1:29" ht="19.9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spans="1:29" ht="19.9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spans="1:29" ht="19.9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spans="1:29" ht="19.9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spans="1:29" ht="19.9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spans="1:29" ht="19.9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spans="1:29" ht="19.9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spans="1:29" ht="19.9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spans="1:29" ht="19.9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spans="1:29" ht="19.9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spans="1:29" ht="19.9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spans="1:29" ht="19.9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spans="1:29" ht="19.9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spans="1:29" ht="19.9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spans="1:29" ht="19.9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spans="1:29" ht="19.9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spans="1:29" ht="19.9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spans="1:29" ht="19.9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spans="1:29" ht="19.9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spans="1:29" ht="19.9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spans="1:29" ht="19.9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spans="1:29" ht="19.9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spans="1:29" ht="19.9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spans="1:29" ht="19.9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spans="1:29" ht="19.9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spans="1:29" ht="19.9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spans="1:29" ht="19.9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spans="1:29" ht="19.9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spans="1:29" ht="19.9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spans="1:29" ht="19.9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spans="1:29" ht="19.9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spans="1:29" ht="19.9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spans="1:29" ht="19.9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spans="1:29" ht="19.9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spans="1:29" ht="19.9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spans="1:29" ht="19.9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spans="1:29" ht="19.9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spans="1:29" ht="19.9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spans="1:29" ht="19.9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spans="1:29" ht="19.9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spans="1:29" ht="19.9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spans="1:29" ht="19.9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spans="1:29" ht="19.9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spans="1:29" ht="19.9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spans="1:29" ht="19.9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spans="1:29" ht="19.9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spans="1:29" ht="19.9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spans="1:29" ht="19.9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spans="1:29" ht="19.9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spans="1:29" ht="19.9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spans="1:29" ht="19.95" customHeight="1" x14ac:dyDescent="0.3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spans="1:29" ht="19.95" customHeight="1" x14ac:dyDescent="0.3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spans="1:29" ht="19.95" customHeight="1" x14ac:dyDescent="0.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spans="1:29" ht="19.95" customHeight="1" x14ac:dyDescent="0.3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spans="1:29" ht="19.95" customHeight="1" x14ac:dyDescent="0.3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spans="1:29" ht="19.95" customHeight="1" x14ac:dyDescent="0.3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spans="1:29" ht="19.95" customHeight="1" x14ac:dyDescent="0.3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spans="1:29" ht="19.95" customHeight="1" x14ac:dyDescent="0.3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spans="1:29" ht="19.95" customHeight="1" x14ac:dyDescent="0.3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spans="1:29" ht="19.95" customHeight="1" x14ac:dyDescent="0.3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spans="1:29" ht="19.95" customHeight="1" x14ac:dyDescent="0.3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 spans="1:29" ht="19.95" customHeight="1" x14ac:dyDescent="0.3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  <row r="1013" spans="1:29" ht="19.95" customHeight="1" x14ac:dyDescent="0.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</row>
    <row r="1014" spans="1:29" ht="19.95" customHeight="1" x14ac:dyDescent="0.3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</row>
    <row r="1015" spans="1:29" ht="19.95" customHeight="1" x14ac:dyDescent="0.3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</row>
    <row r="1016" spans="1:29" ht="19.95" customHeight="1" x14ac:dyDescent="0.3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</row>
    <row r="1017" spans="1:29" ht="19.95" customHeight="1" x14ac:dyDescent="0.3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</row>
    <row r="1018" spans="1:29" ht="19.95" customHeight="1" x14ac:dyDescent="0.3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</row>
    <row r="1019" spans="1:29" ht="19.95" customHeight="1" x14ac:dyDescent="0.3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</row>
    <row r="1020" spans="1:29" ht="19.95" customHeight="1" x14ac:dyDescent="0.3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</row>
    <row r="1021" spans="1:29" ht="19.95" customHeight="1" x14ac:dyDescent="0.3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</row>
    <row r="1022" spans="1:29" ht="19.95" customHeight="1" x14ac:dyDescent="0.3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</row>
    <row r="1023" spans="1:29" ht="19.95" customHeight="1" x14ac:dyDescent="0.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</row>
    <row r="1024" spans="1:29" ht="19.95" customHeight="1" x14ac:dyDescent="0.3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</row>
    <row r="1025" spans="1:29" ht="19.95" customHeight="1" x14ac:dyDescent="0.3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</row>
    <row r="1026" spans="1:29" ht="19.95" customHeight="1" x14ac:dyDescent="0.3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</row>
    <row r="1027" spans="1:29" ht="19.95" customHeight="1" x14ac:dyDescent="0.3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</row>
    <row r="1028" spans="1:29" ht="19.95" customHeight="1" x14ac:dyDescent="0.3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</row>
    <row r="1029" spans="1:29" ht="19.95" customHeight="1" x14ac:dyDescent="0.3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</row>
    <row r="1030" spans="1:29" ht="19.95" customHeight="1" x14ac:dyDescent="0.3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</row>
    <row r="1031" spans="1:29" ht="19.95" customHeight="1" x14ac:dyDescent="0.3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</row>
    <row r="1032" spans="1:29" ht="19.95" customHeight="1" x14ac:dyDescent="0.3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</row>
    <row r="1033" spans="1:29" ht="19.95" customHeight="1" x14ac:dyDescent="0.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</row>
    <row r="1034" spans="1:29" ht="19.95" customHeight="1" x14ac:dyDescent="0.3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</row>
    <row r="1035" spans="1:29" ht="19.95" customHeight="1" x14ac:dyDescent="0.3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</row>
    <row r="1036" spans="1:29" ht="19.95" customHeight="1" x14ac:dyDescent="0.3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</row>
    <row r="1037" spans="1:29" ht="19.95" customHeight="1" x14ac:dyDescent="0.3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</row>
    <row r="1038" spans="1:29" ht="19.95" customHeight="1" x14ac:dyDescent="0.3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</row>
    <row r="1039" spans="1:29" ht="19.95" customHeight="1" x14ac:dyDescent="0.3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</row>
    <row r="1040" spans="1:29" ht="19.95" customHeight="1" x14ac:dyDescent="0.3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</row>
    <row r="1041" spans="1:29" ht="19.95" customHeight="1" x14ac:dyDescent="0.3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</row>
    <row r="1042" spans="1:29" ht="19.95" customHeight="1" x14ac:dyDescent="0.3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</row>
    <row r="1043" spans="1:29" ht="19.95" customHeight="1" x14ac:dyDescent="0.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</row>
    <row r="1044" spans="1:29" ht="19.95" customHeight="1" x14ac:dyDescent="0.3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</row>
    <row r="1045" spans="1:29" ht="19.95" customHeight="1" x14ac:dyDescent="0.3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</row>
    <row r="1046" spans="1:29" ht="19.95" customHeight="1" x14ac:dyDescent="0.3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</row>
  </sheetData>
  <mergeCells count="38">
    <mergeCell ref="B9:C9"/>
    <mergeCell ref="B1:E1"/>
    <mergeCell ref="B2:E2"/>
    <mergeCell ref="B3:E3"/>
    <mergeCell ref="B4:E4"/>
    <mergeCell ref="A6:I6"/>
    <mergeCell ref="D120:E120"/>
    <mergeCell ref="B12:C12"/>
    <mergeCell ref="E12:I12"/>
    <mergeCell ref="A13:C13"/>
    <mergeCell ref="L6:N6"/>
    <mergeCell ref="B7:C7"/>
    <mergeCell ref="E7:I7"/>
    <mergeCell ref="L7:N7"/>
    <mergeCell ref="B10:C10"/>
    <mergeCell ref="E10:I10"/>
    <mergeCell ref="L10:N10"/>
    <mergeCell ref="B11:C11"/>
    <mergeCell ref="E11:I11"/>
    <mergeCell ref="B8:C8"/>
    <mergeCell ref="E8:I8"/>
    <mergeCell ref="L8:N8"/>
    <mergeCell ref="D121:E121"/>
    <mergeCell ref="E9:I9"/>
    <mergeCell ref="L9:N9"/>
    <mergeCell ref="E13:I13"/>
    <mergeCell ref="A17:A121"/>
    <mergeCell ref="B17:C17"/>
    <mergeCell ref="B18:C18"/>
    <mergeCell ref="B19:C19"/>
    <mergeCell ref="B20:B37"/>
    <mergeCell ref="B38:B53"/>
    <mergeCell ref="B54:B81"/>
    <mergeCell ref="B82:B96"/>
    <mergeCell ref="B97:B107"/>
    <mergeCell ref="B108:B117"/>
    <mergeCell ref="B118:B119"/>
    <mergeCell ref="B120:C12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I5" sqref="I5"/>
    </sheetView>
  </sheetViews>
  <sheetFormatPr defaultRowHeight="14.4" x14ac:dyDescent="0.3"/>
  <cols>
    <col min="2" max="11" width="10" customWidth="1"/>
  </cols>
  <sheetData>
    <row r="1" spans="1:11" ht="16.8" x14ac:dyDescent="0.3">
      <c r="A1" s="102" t="s">
        <v>19</v>
      </c>
      <c r="B1" s="103"/>
      <c r="C1" s="103"/>
      <c r="D1" s="103"/>
      <c r="E1" s="103"/>
      <c r="F1" s="103"/>
      <c r="G1" s="103"/>
      <c r="H1" s="103"/>
      <c r="I1" s="103"/>
      <c r="J1" s="103"/>
      <c r="K1" s="104"/>
    </row>
    <row r="2" spans="1:11" ht="16.8" x14ac:dyDescent="0.3">
      <c r="A2" s="105"/>
      <c r="B2" s="106" t="s">
        <v>43</v>
      </c>
      <c r="C2" s="106"/>
      <c r="D2" s="106" t="s">
        <v>40</v>
      </c>
      <c r="E2" s="106"/>
      <c r="F2" s="106" t="s">
        <v>22</v>
      </c>
      <c r="G2" s="106"/>
      <c r="H2" s="106" t="s">
        <v>49</v>
      </c>
      <c r="I2" s="106"/>
      <c r="J2" s="106" t="s">
        <v>50</v>
      </c>
      <c r="K2" s="107"/>
    </row>
    <row r="3" spans="1:11" ht="16.8" x14ac:dyDescent="0.3">
      <c r="A3" s="105"/>
      <c r="B3" s="2" t="s">
        <v>9</v>
      </c>
      <c r="C3" s="2" t="s">
        <v>18</v>
      </c>
      <c r="D3" s="2" t="s">
        <v>9</v>
      </c>
      <c r="E3" s="2" t="s">
        <v>18</v>
      </c>
      <c r="F3" s="2" t="s">
        <v>9</v>
      </c>
      <c r="G3" s="2" t="s">
        <v>18</v>
      </c>
      <c r="H3" s="2" t="s">
        <v>9</v>
      </c>
      <c r="I3" s="2" t="s">
        <v>18</v>
      </c>
      <c r="J3" s="2" t="s">
        <v>9</v>
      </c>
      <c r="K3" s="3" t="s">
        <v>18</v>
      </c>
    </row>
    <row r="4" spans="1:11" ht="16.8" x14ac:dyDescent="0.3">
      <c r="A4" s="6" t="s">
        <v>4</v>
      </c>
      <c r="B4" s="4">
        <f>'Sprint 1'!$D$8</f>
        <v>40</v>
      </c>
      <c r="C4" s="4">
        <f>'Sprint 1'!$E$8</f>
        <v>42.8</v>
      </c>
      <c r="D4" s="4">
        <f>'Sprint 1'!$D$9</f>
        <v>40</v>
      </c>
      <c r="E4" s="4">
        <f ca="1">'Sprint 1'!$E$9</f>
        <v>40.799999999999997</v>
      </c>
      <c r="F4" s="4">
        <f>'Sprint 1'!$D$10</f>
        <v>28</v>
      </c>
      <c r="G4" s="4">
        <f>'Sprint 1'!$E$10</f>
        <v>29.8</v>
      </c>
      <c r="H4" s="4">
        <f>'Sprint 1'!$D$11</f>
        <v>38</v>
      </c>
      <c r="I4" s="4">
        <f>'Sprint 1'!$E$11</f>
        <v>35.799999999999997</v>
      </c>
      <c r="J4" s="4">
        <f>'Sprint 1'!$D$12</f>
        <v>28</v>
      </c>
      <c r="K4" s="4">
        <f>'Sprint 1'!$E$12</f>
        <v>28.8</v>
      </c>
    </row>
    <row r="5" spans="1:11" ht="16.8" x14ac:dyDescent="0.3">
      <c r="A5" s="6" t="s">
        <v>14</v>
      </c>
      <c r="B5" s="4">
        <f>'Sprint 2'!$D$8</f>
        <v>45</v>
      </c>
      <c r="C5" s="4">
        <f>'Sprint 2'!$E$8</f>
        <v>44</v>
      </c>
      <c r="D5" s="4">
        <f>'Sprint 2'!$D$9</f>
        <v>52</v>
      </c>
      <c r="E5" s="4">
        <f ca="1">'Sprint 2'!$E$9</f>
        <v>48</v>
      </c>
      <c r="F5" s="4">
        <f>'Sprint 2'!$D$10</f>
        <v>31.5</v>
      </c>
      <c r="G5" s="4">
        <f>'Sprint 2'!$E$10</f>
        <v>29.5</v>
      </c>
      <c r="H5" s="4">
        <f>'Sprint 2'!$D$11</f>
        <v>32.5</v>
      </c>
      <c r="I5" s="4">
        <f>'Sprint 2'!$E$11</f>
        <v>30.5</v>
      </c>
      <c r="J5" s="4">
        <f>'Sprint 2'!$D$12</f>
        <v>31</v>
      </c>
      <c r="K5" s="4">
        <f>'Sprint 2'!$E$12</f>
        <v>31</v>
      </c>
    </row>
    <row r="6" spans="1:11" ht="16.8" x14ac:dyDescent="0.3">
      <c r="A6" s="6" t="s">
        <v>15</v>
      </c>
      <c r="B6" s="4">
        <f>'Sprint 3'!$D$8</f>
        <v>57</v>
      </c>
      <c r="C6" s="4">
        <f>'Sprint 3'!$E$8</f>
        <v>45</v>
      </c>
      <c r="D6" s="4">
        <f>'Sprint 3'!$D$9</f>
        <v>49</v>
      </c>
      <c r="E6" s="4">
        <f ca="1">'Sprint 3'!$E$9</f>
        <v>38</v>
      </c>
      <c r="F6" s="4">
        <f>'Sprint 3'!$D$10</f>
        <v>35</v>
      </c>
      <c r="G6" s="4">
        <f>'Sprint 3'!$E$10</f>
        <v>31</v>
      </c>
      <c r="H6" s="4">
        <f>'Sprint 3'!$D$11</f>
        <v>36</v>
      </c>
      <c r="I6" s="4">
        <f>'Sprint 3'!$E$11</f>
        <v>34</v>
      </c>
      <c r="J6" s="4">
        <f>'Sprint 3'!$D$12</f>
        <v>26</v>
      </c>
      <c r="K6" s="4">
        <f>'Sprint 3'!$E$12</f>
        <v>25</v>
      </c>
    </row>
    <row r="7" spans="1:11" ht="17.399999999999999" thickBot="1" x14ac:dyDescent="0.35">
      <c r="A7" s="7" t="s">
        <v>10</v>
      </c>
      <c r="B7" s="5">
        <f>SUM(B4:B6)</f>
        <v>142</v>
      </c>
      <c r="C7" s="5">
        <f t="shared" ref="C7:K7" si="0">SUM(C4:C6)</f>
        <v>131.80000000000001</v>
      </c>
      <c r="D7" s="5">
        <f t="shared" si="0"/>
        <v>141</v>
      </c>
      <c r="E7" s="5">
        <f t="shared" ca="1" si="0"/>
        <v>126.8</v>
      </c>
      <c r="F7" s="5">
        <f t="shared" si="0"/>
        <v>94.5</v>
      </c>
      <c r="G7" s="5">
        <f t="shared" si="0"/>
        <v>90.3</v>
      </c>
      <c r="H7" s="5">
        <f t="shared" si="0"/>
        <v>106.5</v>
      </c>
      <c r="I7" s="5">
        <f t="shared" si="0"/>
        <v>100.3</v>
      </c>
      <c r="J7" s="5">
        <f t="shared" si="0"/>
        <v>85</v>
      </c>
      <c r="K7" s="5">
        <f t="shared" si="0"/>
        <v>84.8</v>
      </c>
    </row>
    <row r="9" spans="1:11" ht="15" thickBot="1" x14ac:dyDescent="0.35"/>
    <row r="10" spans="1:11" ht="16.8" x14ac:dyDescent="0.3">
      <c r="E10" s="100" t="s">
        <v>20</v>
      </c>
      <c r="F10" s="101"/>
    </row>
    <row r="11" spans="1:11" ht="16.8" x14ac:dyDescent="0.3">
      <c r="E11" s="8" t="s">
        <v>9</v>
      </c>
      <c r="F11" s="9">
        <f>SUMIF($B$3:$K$3,"Thực tế",$B$7:$K$7)</f>
        <v>569</v>
      </c>
    </row>
    <row r="12" spans="1:11" ht="17.399999999999999" thickBot="1" x14ac:dyDescent="0.35">
      <c r="E12" s="10" t="s">
        <v>18</v>
      </c>
      <c r="F12" s="11">
        <f ca="1">SUMIF($B$3:$K$3,"Ước tính",$B$7:$K$7)</f>
        <v>534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tran hung</cp:lastModifiedBy>
  <dcterms:created xsi:type="dcterms:W3CDTF">2021-04-23T08:05:10Z</dcterms:created>
  <dcterms:modified xsi:type="dcterms:W3CDTF">2026-04-29T00:00:21Z</dcterms:modified>
</cp:coreProperties>
</file>