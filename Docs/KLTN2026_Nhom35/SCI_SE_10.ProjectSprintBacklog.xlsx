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2d563495b9917d/KLTN2026_Nhom35/"/>
    </mc:Choice>
  </mc:AlternateContent>
  <xr:revisionPtr revIDLastSave="174" documentId="13_ncr:1_{1E2B35DA-8863-4221-998B-4B6CA33B5FFE}" xr6:coauthVersionLast="47" xr6:coauthVersionMax="47" xr10:uidLastSave="{00483AE9-D404-4E4A-9859-E425728BD9FF}"/>
  <bookViews>
    <workbookView xWindow="-108" yWindow="-108" windowWidth="23256" windowHeight="13176" xr2:uid="{00000000-000D-0000-FFFF-FFFF00000000}"/>
  </bookViews>
  <sheets>
    <sheet name="Sprint 1" sheetId="1" r:id="rId1"/>
    <sheet name="Sprint 2" sheetId="2" r:id="rId2"/>
    <sheet name="Sprint 3" sheetId="3" r:id="rId3"/>
    <sheet name="Total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" i="1" l="1"/>
  <c r="N105" i="1"/>
  <c r="M105" i="1"/>
  <c r="M106" i="1"/>
  <c r="P105" i="1"/>
  <c r="P106" i="1"/>
  <c r="O106" i="1"/>
  <c r="K106" i="1"/>
  <c r="K105" i="1"/>
  <c r="I106" i="1"/>
  <c r="J105" i="1"/>
  <c r="J106" i="1"/>
  <c r="U106" i="1"/>
  <c r="V106" i="1"/>
  <c r="U105" i="1"/>
  <c r="V105" i="1"/>
  <c r="T105" i="1"/>
  <c r="D12" i="1"/>
  <c r="D11" i="1"/>
  <c r="D10" i="1"/>
  <c r="D9" i="1"/>
  <c r="D8" i="1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F95" i="3"/>
  <c r="E12" i="3"/>
  <c r="D12" i="3"/>
  <c r="E11" i="3"/>
  <c r="D11" i="3"/>
  <c r="E10" i="3"/>
  <c r="D10" i="3"/>
  <c r="E9" i="3"/>
  <c r="D9" i="3"/>
  <c r="E8" i="3"/>
  <c r="D8" i="3"/>
  <c r="D13" i="3" s="1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12" i="2"/>
  <c r="D12" i="2"/>
  <c r="E11" i="2"/>
  <c r="D11" i="2"/>
  <c r="E10" i="2"/>
  <c r="D10" i="2"/>
  <c r="E9" i="2"/>
  <c r="D9" i="2"/>
  <c r="E8" i="2"/>
  <c r="D8" i="2"/>
  <c r="D13" i="2" s="1"/>
  <c r="E11" i="1"/>
  <c r="E12" i="1"/>
  <c r="E10" i="1"/>
  <c r="E9" i="1"/>
  <c r="E8" i="1"/>
  <c r="T106" i="1"/>
  <c r="S106" i="1"/>
  <c r="R106" i="1"/>
  <c r="Q106" i="1"/>
  <c r="L106" i="1"/>
  <c r="H106" i="1"/>
  <c r="G106" i="1"/>
  <c r="F106" i="1"/>
  <c r="S105" i="1"/>
  <c r="R105" i="1"/>
  <c r="Q105" i="1"/>
  <c r="O105" i="1"/>
  <c r="L105" i="1"/>
  <c r="I105" i="1"/>
  <c r="H105" i="1"/>
  <c r="G105" i="1"/>
  <c r="F105" i="1"/>
  <c r="E13" i="3" l="1"/>
  <c r="E13" i="2"/>
  <c r="D13" i="1"/>
  <c r="E13" i="1"/>
  <c r="C4" i="4" l="1"/>
  <c r="G6" i="4" l="1"/>
  <c r="K6" i="4"/>
  <c r="I6" i="4"/>
  <c r="E6" i="4"/>
  <c r="C6" i="4"/>
  <c r="J6" i="4"/>
  <c r="J4" i="4"/>
  <c r="H6" i="4"/>
  <c r="H4" i="4"/>
  <c r="F6" i="4"/>
  <c r="F5" i="4"/>
  <c r="D6" i="4"/>
  <c r="D5" i="4"/>
  <c r="B6" i="4"/>
  <c r="B5" i="4"/>
  <c r="K5" i="4"/>
  <c r="I5" i="4"/>
  <c r="K4" i="4"/>
  <c r="I4" i="4"/>
  <c r="G5" i="4"/>
  <c r="G4" i="4"/>
  <c r="E5" i="4"/>
  <c r="E4" i="4"/>
  <c r="C5" i="4"/>
  <c r="J5" i="4"/>
  <c r="H5" i="4"/>
  <c r="F4" i="4"/>
  <c r="D4" i="4"/>
  <c r="B4" i="4"/>
  <c r="F7" i="4" l="1"/>
  <c r="D7" i="4"/>
  <c r="K7" i="4"/>
  <c r="B7" i="4"/>
  <c r="C7" i="4"/>
  <c r="G7" i="4"/>
  <c r="J7" i="4"/>
  <c r="E7" i="4"/>
  <c r="I7" i="4"/>
  <c r="H7" i="4"/>
  <c r="F11" i="4" l="1"/>
  <c r="F12" i="4"/>
</calcChain>
</file>

<file path=xl/sharedStrings.xml><?xml version="1.0" encoding="utf-8"?>
<sst xmlns="http://schemas.openxmlformats.org/spreadsheetml/2006/main" count="602" uniqueCount="154">
  <si>
    <t>End date:</t>
  </si>
  <si>
    <t>Start date:</t>
  </si>
  <si>
    <t>Module name:</t>
  </si>
  <si>
    <t>Project name:</t>
  </si>
  <si>
    <t>Sprint 1</t>
  </si>
  <si>
    <t>Sprint</t>
  </si>
  <si>
    <t>Compoment</t>
  </si>
  <si>
    <t>Task name</t>
  </si>
  <si>
    <t>Responsible Member</t>
  </si>
  <si>
    <t>Thực tế</t>
  </si>
  <si>
    <t>Tổng</t>
  </si>
  <si>
    <t>Coding</t>
  </si>
  <si>
    <t>Testing</t>
  </si>
  <si>
    <t>Release Sprint 1</t>
  </si>
  <si>
    <t>Sprint 2</t>
  </si>
  <si>
    <t>Sprint 3</t>
  </si>
  <si>
    <t>Re-testing</t>
  </si>
  <si>
    <t>All team</t>
  </si>
  <si>
    <t>Ước tính</t>
  </si>
  <si>
    <t>SPRINT BACKLOG REPORT</t>
  </si>
  <si>
    <t>FINAL TOTAL</t>
  </si>
  <si>
    <t>Trước thời hạn</t>
  </si>
  <si>
    <t>Lĩnh</t>
  </si>
  <si>
    <t>Thúy, Luyện</t>
  </si>
  <si>
    <t>BÁO CÁO SPRINT 1</t>
  </si>
  <si>
    <t>Đúng tiến độ</t>
  </si>
  <si>
    <t>STT</t>
  </si>
  <si>
    <t>Tên thành viên</t>
  </si>
  <si>
    <t>Trễ</t>
  </si>
  <si>
    <t>Trần Hưng</t>
  </si>
  <si>
    <t>Lê Văn Bá Khải</t>
  </si>
  <si>
    <t>Nguyễn Trần Lĩnh</t>
  </si>
  <si>
    <t>Tổng cộng</t>
  </si>
  <si>
    <t>Thực Tế</t>
  </si>
  <si>
    <t>Ước Tính</t>
  </si>
  <si>
    <t>SPRINT 1</t>
  </si>
  <si>
    <t>Họp kế hoạch Sprint 1</t>
  </si>
  <si>
    <t>Tạo tài liệu spring backlog 1</t>
  </si>
  <si>
    <t>Tạo tài liệu kiểm thử cho Sprint 1</t>
  </si>
  <si>
    <t>Thiết kế giao diện</t>
  </si>
  <si>
    <t>Khải</t>
  </si>
  <si>
    <t>Review of Sprint 1</t>
  </si>
  <si>
    <t>Thiết kế Testcase</t>
  </si>
  <si>
    <t>Hưng</t>
  </si>
  <si>
    <t>Review all test case of Sprint 1</t>
  </si>
  <si>
    <t>Integrate Code</t>
  </si>
  <si>
    <t>Fix bugs</t>
  </si>
  <si>
    <t>Sprint 1 Review Meeting</t>
  </si>
  <si>
    <t>Sprint 1 Retrospective</t>
  </si>
  <si>
    <t>Testing PB02: Đăng nhập</t>
  </si>
  <si>
    <t>Testing PB03: Đăng xuất</t>
  </si>
  <si>
    <t>Testing PB16: Quên mật khẩu</t>
  </si>
  <si>
    <t>Testing PB04: Xem CLKK thời gian thực</t>
  </si>
  <si>
    <t>Testing PB05: Xem biểu đồ CLKK</t>
  </si>
  <si>
    <t>Testing PB23: Bản đồ nhiệt</t>
  </si>
  <si>
    <t>Testing PB11: Quản lý người dùng</t>
  </si>
  <si>
    <t>Testing PB12: Quản lý trạm quan trắc</t>
  </si>
  <si>
    <t>Testing PB13: Giám sát dữ liệu</t>
  </si>
  <si>
    <t>Fix Bugs PB01: Đăng ký tài khoản</t>
  </si>
  <si>
    <t>Fix Bugs PB02: Đăng nhập</t>
  </si>
  <si>
    <t>Fix Bugs PB03: Đăng xuất</t>
  </si>
  <si>
    <t>Fix Bugs PB16: Quên mật khẩu</t>
  </si>
  <si>
    <t>Fix Bugs PB04: Xem CLKK thời gian thực</t>
  </si>
  <si>
    <t>Fix Bugs PB05: Xem biểu đồ CLKK</t>
  </si>
  <si>
    <t>Fix Bugs PB23: Bản đồ nhiệt</t>
  </si>
  <si>
    <t>Fix Bugs PB11: Quản lý người dùng</t>
  </si>
  <si>
    <t>Fix Bugs PB12: Quản lý trạm quan trắc</t>
  </si>
  <si>
    <t>Fix Bugs PB13: Giám sát dữ liệu</t>
  </si>
  <si>
    <t>ReTesting PB01: Đăng ký tài khoản</t>
  </si>
  <si>
    <t>ReTesting PB02: Đăng nhập</t>
  </si>
  <si>
    <t>ReTesting PB03: Đăng xuất</t>
  </si>
  <si>
    <t>ReTesting PB16: Quên mật khẩu</t>
  </si>
  <si>
    <t>ReTesting PB04: Xem CLKK thời gian thực</t>
  </si>
  <si>
    <t>ReTesting PB05: Xem biểu đồ CLKK</t>
  </si>
  <si>
    <t>ReTesting PB23: Bản đồ nhiệt</t>
  </si>
  <si>
    <t>ReTesting PB11: Quản lý người dùng</t>
  </si>
  <si>
    <t>ReTesting PB12: Quản lý trạm quan trắc</t>
  </si>
  <si>
    <t>ReTesting PB13: Giám sát dữ liệu</t>
  </si>
  <si>
    <t>Luyện</t>
  </si>
  <si>
    <t>Thúy</t>
  </si>
  <si>
    <t>Hưng, Khải</t>
  </si>
  <si>
    <t>Ứng Dụng AI Xây Dựng Hệ Thống Giám Sát Và Dự Báo Chất Lượng Không Khí</t>
  </si>
  <si>
    <t>Phùng Thị Luyện</t>
  </si>
  <si>
    <t>Phan Thị Thanh Thúy</t>
  </si>
  <si>
    <t>Thiết kế UI Đăng ký tài khoản</t>
  </si>
  <si>
    <t>Thiết kế UI Đăng nhập</t>
  </si>
  <si>
    <t xml:space="preserve">Thiết kế UI Đăng xuất </t>
  </si>
  <si>
    <t>Thiết kế UI Quên mật khẩu</t>
  </si>
  <si>
    <t>Thiết kế UI Bản đồ nhiệt (Heatmap)</t>
  </si>
  <si>
    <t>Thiết kế UI Quản lý người dùng (Admin)</t>
  </si>
  <si>
    <t>Thiết kế UI Quản lý trạm quan trắc</t>
  </si>
  <si>
    <t>Thiết kế UI Giám sát dữ liệu môi trường</t>
  </si>
  <si>
    <t>Viết Test Case Đăng ký tài khoản</t>
  </si>
  <si>
    <t>Viết Test Case Đăng nhập</t>
  </si>
  <si>
    <t>Viết Test Case Đăng xuất</t>
  </si>
  <si>
    <t>Viết Test Case Quên mật khẩu</t>
  </si>
  <si>
    <t>Viết Test Case Bản đồ nhiệt (Heatmap)</t>
  </si>
  <si>
    <t>Viết Test Case Quản lý người dùng</t>
  </si>
  <si>
    <t>Viết Test Case Quản lý trạm quan trắc</t>
  </si>
  <si>
    <t>Viết Test Case Giám sát dữ liệu môi trường</t>
  </si>
  <si>
    <t>Code Frontend Đăng ký tài khoản</t>
  </si>
  <si>
    <t>Code Frontend Đăng nhập</t>
  </si>
  <si>
    <t>Code Frontend Đăng xuất</t>
  </si>
  <si>
    <t>Code Frontend Quên mật khẩu</t>
  </si>
  <si>
    <t>Code Frontend Bản đồ nhiệt (Heatmap)</t>
  </si>
  <si>
    <t>Code Frontend Quản lý người dùng</t>
  </si>
  <si>
    <t>Code Frontend Quản lý trạm quan trắc</t>
  </si>
  <si>
    <t>Code Frontend Giám sát dữ liệu môi trường</t>
  </si>
  <si>
    <t>Code Backend Đăng ký tài khoản</t>
  </si>
  <si>
    <t>Code Backend Đăng nhập &amp; JWT</t>
  </si>
  <si>
    <t>Code Backend Đăng xuất</t>
  </si>
  <si>
    <t>Code Backend Quên mật khẩu</t>
  </si>
  <si>
    <t>Code Backend API Bản đồ nhiệt</t>
  </si>
  <si>
    <t>Code Backend API Quản lý người dùng</t>
  </si>
  <si>
    <t>Code Backend API Quản lý trạm</t>
  </si>
  <si>
    <t>Code Backend API Giám sát dữ liệu</t>
  </si>
  <si>
    <t>Testing Đăng ký tài khoản</t>
  </si>
  <si>
    <t>Testing Đăng nhập</t>
  </si>
  <si>
    <t>Testing Đăng xuất</t>
  </si>
  <si>
    <t>Testing Quên mật khẩu</t>
  </si>
  <si>
    <t>Testing Bản đồ nhiệt</t>
  </si>
  <si>
    <t>Testing Quản lý người dùng</t>
  </si>
  <si>
    <t>Testing Quản lý trạm quan trắc</t>
  </si>
  <si>
    <t>Testing Giám sát dữ liệu</t>
  </si>
  <si>
    <t>Fix Bugs Đăng ký tài khoản</t>
  </si>
  <si>
    <t>Fix Bugs Đăng nhập</t>
  </si>
  <si>
    <t>Fix Bugs Đăng xuất</t>
  </si>
  <si>
    <t>Fix Bugs Quên mật khẩu</t>
  </si>
  <si>
    <t>Fix Bugs Bản đồ nhiệt</t>
  </si>
  <si>
    <t>Fix Bugs Quản lý người dùng</t>
  </si>
  <si>
    <t>Fix Bugs Quản lý trạm quan trắc</t>
  </si>
  <si>
    <t>Fix Bugs Giám sát dữ liệu</t>
  </si>
  <si>
    <t>ReTesting Đăng ký tài khoản</t>
  </si>
  <si>
    <t>ReTesting Đăng nhập</t>
  </si>
  <si>
    <t>ReTesting Đăng xuất</t>
  </si>
  <si>
    <t>ReTesting Quên mật khẩu</t>
  </si>
  <si>
    <t>ReTesting Bản đồ nhiệt</t>
  </si>
  <si>
    <t>ReTesting Quản lý người dùng</t>
  </si>
  <si>
    <t>ReTesting Quản lý trạm quan trắc</t>
  </si>
  <si>
    <t>ReTesting Giám sát dữ liệu</t>
  </si>
  <si>
    <t>Thiết kế UI Tổng quan CLKK</t>
  </si>
  <si>
    <t>Thiết kế UI Chi tiết CLKK trạm</t>
  </si>
  <si>
    <t>Viết Test Case Tổng quan CLKK</t>
  </si>
  <si>
    <t>Code Frontend Tổng quan CLKK</t>
  </si>
  <si>
    <t>Code Backend API Tổng quan CLKK</t>
  </si>
  <si>
    <t>Testing Tổng quan CLKK</t>
  </si>
  <si>
    <t>Fix Bugs Tổng quan CLKK</t>
  </si>
  <si>
    <t>ReTesting Tổng quan CLKK</t>
  </si>
  <si>
    <t>Viết Test Case Chi tiết CLKK trạm</t>
  </si>
  <si>
    <t>Code Frontend Chi tiết CLKK trạm</t>
  </si>
  <si>
    <t>Code Backend API Chi tiết CLKK trạm</t>
  </si>
  <si>
    <t>Testing Chi tiết CLKK trạm</t>
  </si>
  <si>
    <t>Fix Bugs Chi tiết CLKK trạm</t>
  </si>
  <si>
    <t>ReTesting Chi tiết CLKK trạm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</si>
</sst>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name val="Times New Roman"/>
      <family val="1"/>
    </font>
    <font>
      <sz val="13"/>
      <color rgb="FF000000"/>
      <name val="Times New Roman"/>
      <family val="1"/>
    </font>
    <font>
      <b/>
      <sz val="13"/>
      <name val="Times New Roman"/>
      <family val="1"/>
    </font>
    <font>
      <sz val="10"/>
      <color theme="1"/>
      <name val="Times New Roman"/>
      <family val="1"/>
    </font>
    <font>
      <b/>
      <sz val="13"/>
      <color rgb="FF00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FF3300"/>
        <bgColor rgb="FFFF3300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3300"/>
      </patternFill>
    </fill>
    <fill>
      <patternFill patternType="solid">
        <fgColor theme="0"/>
        <bgColor rgb="FF00B05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2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0" borderId="5" xfId="0" applyFont="1" applyBorder="1"/>
    <xf numFmtId="0" fontId="1" fillId="4" borderId="6" xfId="0" applyFont="1" applyFill="1" applyBorder="1"/>
    <xf numFmtId="0" fontId="1" fillId="0" borderId="8" xfId="0" applyFont="1" applyBorder="1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14" fontId="5" fillId="0" borderId="0" xfId="0" applyNumberFormat="1" applyFont="1"/>
    <xf numFmtId="0" fontId="4" fillId="7" borderId="1" xfId="0" applyFont="1" applyFill="1" applyBorder="1"/>
    <xf numFmtId="0" fontId="7" fillId="8" borderId="22" xfId="0" applyFont="1" applyFill="1" applyBorder="1" applyAlignment="1">
      <alignment horizontal="center"/>
    </xf>
    <xf numFmtId="0" fontId="7" fillId="8" borderId="24" xfId="0" applyFont="1" applyFill="1" applyBorder="1" applyAlignment="1">
      <alignment horizontal="center"/>
    </xf>
    <xf numFmtId="0" fontId="4" fillId="9" borderId="1" xfId="0" applyFont="1" applyFill="1" applyBorder="1"/>
    <xf numFmtId="0" fontId="4" fillId="0" borderId="25" xfId="0" applyFont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0" fontId="4" fillId="11" borderId="1" xfId="0" applyFont="1" applyFill="1" applyBorder="1"/>
    <xf numFmtId="0" fontId="4" fillId="0" borderId="26" xfId="0" applyFont="1" applyBorder="1" applyAlignment="1">
      <alignment horizontal="center"/>
    </xf>
    <xf numFmtId="1" fontId="2" fillId="2" borderId="17" xfId="0" applyNumberFormat="1" applyFont="1" applyFill="1" applyBorder="1" applyAlignment="1">
      <alignment vertical="center"/>
    </xf>
    <xf numFmtId="0" fontId="7" fillId="10" borderId="0" xfId="0" applyFont="1" applyFill="1" applyAlignment="1">
      <alignment horizontal="center"/>
    </xf>
    <xf numFmtId="0" fontId="2" fillId="2" borderId="1" xfId="0" applyFont="1" applyFill="1" applyBorder="1" applyAlignment="1">
      <alignment vertical="center"/>
    </xf>
    <xf numFmtId="0" fontId="2" fillId="0" borderId="16" xfId="0" applyFont="1" applyBorder="1" applyAlignment="1">
      <alignment horizontal="center" textRotation="90" wrapText="1"/>
    </xf>
    <xf numFmtId="0" fontId="2" fillId="0" borderId="16" xfId="0" applyFont="1" applyBorder="1" applyAlignment="1">
      <alignment horizontal="center" vertical="center" textRotation="90" wrapText="1"/>
    </xf>
    <xf numFmtId="16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2" xfId="0" applyFont="1" applyBorder="1" applyAlignment="1">
      <alignment vertical="center" wrapText="1"/>
    </xf>
    <xf numFmtId="0" fontId="1" fillId="0" borderId="12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" fillId="0" borderId="12" xfId="0" applyFont="1" applyBorder="1" applyAlignment="1">
      <alignment wrapText="1"/>
    </xf>
    <xf numFmtId="0" fontId="1" fillId="5" borderId="13" xfId="0" applyFont="1" applyFill="1" applyBorder="1"/>
    <xf numFmtId="0" fontId="4" fillId="14" borderId="1" xfId="0" applyFont="1" applyFill="1" applyBorder="1"/>
    <xf numFmtId="0" fontId="1" fillId="5" borderId="0" xfId="0" applyFont="1" applyFill="1"/>
    <xf numFmtId="0" fontId="4" fillId="5" borderId="1" xfId="0" applyFont="1" applyFill="1" applyBorder="1"/>
    <xf numFmtId="0" fontId="4" fillId="5" borderId="1" xfId="0" applyFont="1" applyFill="1" applyBorder="1" applyAlignment="1">
      <alignment horizontal="right" vertical="center" wrapText="1"/>
    </xf>
    <xf numFmtId="0" fontId="4" fillId="15" borderId="1" xfId="0" applyFont="1" applyFill="1" applyBorder="1"/>
    <xf numFmtId="0" fontId="4" fillId="16" borderId="1" xfId="0" applyFont="1" applyFill="1" applyBorder="1"/>
    <xf numFmtId="0" fontId="7" fillId="5" borderId="1" xfId="0" applyFont="1" applyFill="1" applyBorder="1" applyAlignment="1">
      <alignment horizontal="right" vertical="center" wrapText="1"/>
    </xf>
    <xf numFmtId="0" fontId="1" fillId="0" borderId="12" xfId="0" applyFont="1" applyBorder="1" applyAlignment="1">
      <alignment vertical="center" wrapText="1"/>
    </xf>
    <xf numFmtId="0" fontId="4" fillId="5" borderId="13" xfId="0" applyFont="1" applyFill="1" applyBorder="1" applyAlignment="1">
      <alignment horizontal="right" vertical="center" wrapText="1"/>
    </xf>
    <xf numFmtId="0" fontId="2" fillId="2" borderId="16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1" fillId="5" borderId="18" xfId="0" applyFont="1" applyFill="1" applyBorder="1"/>
    <xf numFmtId="0" fontId="1" fillId="5" borderId="14" xfId="0" applyFont="1" applyFill="1" applyBorder="1"/>
    <xf numFmtId="0" fontId="4" fillId="5" borderId="18" xfId="0" applyFont="1" applyFill="1" applyBorder="1" applyAlignment="1">
      <alignment horizontal="right" vertical="center" wrapText="1"/>
    </xf>
    <xf numFmtId="0" fontId="4" fillId="5" borderId="12" xfId="0" applyFont="1" applyFill="1" applyBorder="1" applyAlignment="1">
      <alignment horizontal="right" vertical="center" wrapText="1"/>
    </xf>
    <xf numFmtId="0" fontId="4" fillId="14" borderId="13" xfId="0" applyFont="1" applyFill="1" applyBorder="1"/>
    <xf numFmtId="0" fontId="7" fillId="5" borderId="13" xfId="0" applyFont="1" applyFill="1" applyBorder="1" applyAlignment="1">
      <alignment horizontal="right" vertical="center" wrapText="1"/>
    </xf>
    <xf numFmtId="0" fontId="2" fillId="0" borderId="17" xfId="0" applyFont="1" applyBorder="1"/>
    <xf numFmtId="0" fontId="1" fillId="5" borderId="1" xfId="0" applyFont="1" applyFill="1" applyBorder="1"/>
    <xf numFmtId="0" fontId="1" fillId="0" borderId="28" xfId="0" applyFont="1" applyBorder="1" applyAlignment="1">
      <alignment horizontal="center" vertical="center"/>
    </xf>
    <xf numFmtId="0" fontId="4" fillId="10" borderId="25" xfId="0" applyFont="1" applyFill="1" applyBorder="1" applyAlignment="1">
      <alignment horizontal="left"/>
    </xf>
    <xf numFmtId="0" fontId="3" fillId="0" borderId="24" xfId="0" applyFont="1" applyBorder="1"/>
    <xf numFmtId="0" fontId="5" fillId="0" borderId="12" xfId="0" applyFont="1" applyBorder="1" applyAlignment="1">
      <alignment horizontal="left"/>
    </xf>
    <xf numFmtId="0" fontId="5" fillId="0" borderId="18" xfId="0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14" fontId="5" fillId="0" borderId="12" xfId="0" applyNumberFormat="1" applyFont="1" applyBorder="1" applyAlignment="1">
      <alignment horizontal="left"/>
    </xf>
    <xf numFmtId="14" fontId="5" fillId="0" borderId="18" xfId="0" applyNumberFormat="1" applyFont="1" applyBorder="1" applyAlignment="1">
      <alignment horizontal="left"/>
    </xf>
    <xf numFmtId="14" fontId="5" fillId="0" borderId="13" xfId="0" applyNumberFormat="1" applyFont="1" applyBorder="1" applyAlignment="1">
      <alignment horizontal="left"/>
    </xf>
    <xf numFmtId="0" fontId="7" fillId="6" borderId="19" xfId="0" applyFont="1" applyFill="1" applyBorder="1" applyAlignment="1">
      <alignment horizontal="center"/>
    </xf>
    <xf numFmtId="0" fontId="3" fillId="0" borderId="20" xfId="0" applyFont="1" applyBorder="1"/>
    <xf numFmtId="0" fontId="3" fillId="0" borderId="21" xfId="0" applyFont="1" applyBorder="1"/>
    <xf numFmtId="0" fontId="2" fillId="0" borderId="1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10" borderId="26" xfId="0" applyFont="1" applyFill="1" applyBorder="1" applyAlignment="1">
      <alignment horizontal="left"/>
    </xf>
    <xf numFmtId="0" fontId="3" fillId="0" borderId="23" xfId="0" applyFont="1" applyBorder="1"/>
    <xf numFmtId="1" fontId="4" fillId="0" borderId="20" xfId="0" applyNumberFormat="1" applyFont="1" applyBorder="1" applyAlignment="1">
      <alignment horizontal="center"/>
    </xf>
    <xf numFmtId="1" fontId="3" fillId="0" borderId="20" xfId="0" applyNumberFormat="1" applyFont="1" applyBorder="1"/>
    <xf numFmtId="1" fontId="3" fillId="0" borderId="21" xfId="0" applyNumberFormat="1" applyFont="1" applyBorder="1"/>
    <xf numFmtId="0" fontId="7" fillId="12" borderId="25" xfId="0" applyFont="1" applyFill="1" applyBorder="1" applyAlignment="1">
      <alignment horizontal="center"/>
    </xf>
    <xf numFmtId="0" fontId="3" fillId="0" borderId="27" xfId="0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7" fillId="8" borderId="0" xfId="0" applyFont="1" applyFill="1" applyAlignment="1">
      <alignment horizontal="center"/>
    </xf>
    <xf numFmtId="0" fontId="7" fillId="8" borderId="20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10" borderId="19" xfId="0" applyFont="1" applyFill="1" applyBorder="1" applyAlignment="1">
      <alignment horizontal="left"/>
    </xf>
    <xf numFmtId="1" fontId="4" fillId="0" borderId="19" xfId="0" applyNumberFormat="1" applyFont="1" applyBorder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7" fillId="8" borderId="27" xfId="0" applyNumberFormat="1" applyFont="1" applyFill="1" applyBorder="1" applyAlignment="1">
      <alignment horizontal="center"/>
    </xf>
    <xf numFmtId="1" fontId="3" fillId="0" borderId="27" xfId="0" applyNumberFormat="1" applyFont="1" applyBorder="1"/>
    <xf numFmtId="1" fontId="3" fillId="0" borderId="24" xfId="0" applyNumberFormat="1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CC00CC"/>
      <color rgb="FFFF66CC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SPRINT</a:t>
            </a:r>
            <a:r>
              <a:rPr lang="en-GB" baseline="0"/>
              <a:t> 1 CHART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1'!$D$105:$E$105</c:f>
              <c:strCache>
                <c:ptCount val="2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1'!$G$16:$V$16</c:f>
              <c:numCache>
                <c:formatCode>d\-mmm</c:formatCode>
                <c:ptCount val="16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</c:numCache>
            </c:numRef>
          </c:cat>
          <c:val>
            <c:numRef>
              <c:f>'Sprint 1'!$G$105:$V$105</c:f>
              <c:numCache>
                <c:formatCode>General</c:formatCode>
                <c:ptCount val="16"/>
                <c:pt idx="0">
                  <c:v>168</c:v>
                </c:pt>
                <c:pt idx="1">
                  <c:v>164</c:v>
                </c:pt>
                <c:pt idx="2">
                  <c:v>160</c:v>
                </c:pt>
                <c:pt idx="3">
                  <c:v>147</c:v>
                </c:pt>
                <c:pt idx="4">
                  <c:v>132</c:v>
                </c:pt>
                <c:pt idx="5">
                  <c:v>119</c:v>
                </c:pt>
                <c:pt idx="6">
                  <c:v>97</c:v>
                </c:pt>
                <c:pt idx="7">
                  <c:v>87</c:v>
                </c:pt>
                <c:pt idx="8">
                  <c:v>75</c:v>
                </c:pt>
                <c:pt idx="9">
                  <c:v>57</c:v>
                </c:pt>
                <c:pt idx="10">
                  <c:v>52</c:v>
                </c:pt>
                <c:pt idx="11">
                  <c:v>48</c:v>
                </c:pt>
                <c:pt idx="12">
                  <c:v>38</c:v>
                </c:pt>
                <c:pt idx="13">
                  <c:v>28</c:v>
                </c:pt>
                <c:pt idx="14">
                  <c:v>10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E8-4ED2-942C-DF1B59369B65}"/>
            </c:ext>
          </c:extLst>
        </c:ser>
        <c:ser>
          <c:idx val="1"/>
          <c:order val="1"/>
          <c:tx>
            <c:strRef>
              <c:f>'Sprint 1'!$D$106:$E$106</c:f>
              <c:strCache>
                <c:ptCount val="2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1'!$G$16:$V$16</c:f>
              <c:numCache>
                <c:formatCode>d\-mmm</c:formatCode>
                <c:ptCount val="16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</c:numCache>
            </c:numRef>
          </c:cat>
          <c:val>
            <c:numRef>
              <c:f>'Sprint 1'!$G$106:$V$106</c:f>
              <c:numCache>
                <c:formatCode>General</c:formatCode>
                <c:ptCount val="16"/>
                <c:pt idx="0">
                  <c:v>168</c:v>
                </c:pt>
                <c:pt idx="1">
                  <c:v>164</c:v>
                </c:pt>
                <c:pt idx="2">
                  <c:v>160</c:v>
                </c:pt>
                <c:pt idx="3">
                  <c:v>148</c:v>
                </c:pt>
                <c:pt idx="4">
                  <c:v>130</c:v>
                </c:pt>
                <c:pt idx="5">
                  <c:v>119</c:v>
                </c:pt>
                <c:pt idx="6">
                  <c:v>100</c:v>
                </c:pt>
                <c:pt idx="7">
                  <c:v>87</c:v>
                </c:pt>
                <c:pt idx="8">
                  <c:v>73</c:v>
                </c:pt>
                <c:pt idx="9">
                  <c:v>57</c:v>
                </c:pt>
                <c:pt idx="10">
                  <c:v>52</c:v>
                </c:pt>
                <c:pt idx="11">
                  <c:v>48</c:v>
                </c:pt>
                <c:pt idx="12">
                  <c:v>38</c:v>
                </c:pt>
                <c:pt idx="13">
                  <c:v>28</c:v>
                </c:pt>
                <c:pt idx="14">
                  <c:v>10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E8-4ED2-942C-DF1B59369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117583"/>
        <c:axId val="709118063"/>
      </c:lineChart>
      <c:dateAx>
        <c:axId val="709117583"/>
        <c:scaling>
          <c:orientation val="minMax"/>
        </c:scaling>
        <c:delete val="0"/>
        <c:axPos val="b"/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8063"/>
        <c:crosses val="autoZero"/>
        <c:auto val="1"/>
        <c:lblOffset val="100"/>
        <c:baseTimeUnit val="days"/>
      </c:dateAx>
      <c:valAx>
        <c:axId val="7091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2'!$I$15:$AC$15</c:f>
              <c:numCache>
                <c:formatCode>General</c:formatCode>
                <c:ptCount val="21"/>
              </c:numCache>
            </c:numRef>
          </c:cat>
          <c:val>
            <c:numRef>
              <c:f>'Sprint 2'!$I$98:$AC$98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A-4F95-B475-BD0333B2485A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2'!$I$15:$AC$15</c:f>
              <c:numCache>
                <c:formatCode>General</c:formatCode>
                <c:ptCount val="21"/>
              </c:numCache>
            </c:numRef>
          </c:cat>
          <c:val>
            <c:numRef>
              <c:f>'Sprint 2'!$I$99:$AC$99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A-4F95-B475-BD0333B24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5640"/>
        <c:axId val="226296816"/>
      </c:lineChart>
      <c:catAx>
        <c:axId val="2262956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26296816"/>
        <c:crosses val="autoZero"/>
        <c:auto val="1"/>
        <c:lblAlgn val="ctr"/>
        <c:lblOffset val="100"/>
        <c:noMultiLvlLbl val="1"/>
      </c:catAx>
      <c:valAx>
        <c:axId val="226296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56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SPRINT</a:t>
            </a:r>
            <a:r>
              <a:rPr lang="en-GB" baseline="0"/>
              <a:t> 1 CHART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[1]Sprint1!$E$16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[1]Sprint1!$G$109:$T$109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198</c:v>
                </c:pt>
                <c:pt idx="3">
                  <c:v>184</c:v>
                </c:pt>
                <c:pt idx="4">
                  <c:v>162</c:v>
                </c:pt>
                <c:pt idx="5">
                  <c:v>144</c:v>
                </c:pt>
                <c:pt idx="6">
                  <c:v>128</c:v>
                </c:pt>
                <c:pt idx="7">
                  <c:v>120</c:v>
                </c:pt>
                <c:pt idx="8">
                  <c:v>94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B5-4CFC-A244-D05603F077E2}"/>
            </c:ext>
          </c:extLst>
        </c:ser>
        <c:ser>
          <c:idx val="1"/>
          <c:order val="1"/>
          <c:tx>
            <c:strRef>
              <c:f>[1]Sprint1!$F$16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[1]Sprint1!$G$110:$T$110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196</c:v>
                </c:pt>
                <c:pt idx="3">
                  <c:v>184</c:v>
                </c:pt>
                <c:pt idx="4">
                  <c:v>164</c:v>
                </c:pt>
                <c:pt idx="5">
                  <c:v>144</c:v>
                </c:pt>
                <c:pt idx="6">
                  <c:v>128</c:v>
                </c:pt>
                <c:pt idx="7">
                  <c:v>116</c:v>
                </c:pt>
                <c:pt idx="8">
                  <c:v>86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B5-4CFC-A244-D05603F07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117583"/>
        <c:axId val="709118063"/>
      </c:lineChart>
      <c:catAx>
        <c:axId val="70911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8063"/>
        <c:crosses val="autoZero"/>
        <c:auto val="1"/>
        <c:lblAlgn val="ctr"/>
        <c:lblOffset val="100"/>
        <c:noMultiLvlLbl val="0"/>
      </c:catAx>
      <c:valAx>
        <c:axId val="7091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SPRINT</a:t>
            </a:r>
            <a:r>
              <a:rPr lang="en-GB" baseline="0"/>
              <a:t> 1 CHART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[1]Sprint1!$E$16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[1]Sprint1!$G$109:$T$109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198</c:v>
                </c:pt>
                <c:pt idx="3">
                  <c:v>184</c:v>
                </c:pt>
                <c:pt idx="4">
                  <c:v>162</c:v>
                </c:pt>
                <c:pt idx="5">
                  <c:v>144</c:v>
                </c:pt>
                <c:pt idx="6">
                  <c:v>128</c:v>
                </c:pt>
                <c:pt idx="7">
                  <c:v>120</c:v>
                </c:pt>
                <c:pt idx="8">
                  <c:v>94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E-4F50-A5DF-D2BF6B1E008B}"/>
            </c:ext>
          </c:extLst>
        </c:ser>
        <c:ser>
          <c:idx val="1"/>
          <c:order val="1"/>
          <c:tx>
            <c:strRef>
              <c:f>[1]Sprint1!$F$16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[1]Sprint1!$G$110:$T$110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196</c:v>
                </c:pt>
                <c:pt idx="3">
                  <c:v>184</c:v>
                </c:pt>
                <c:pt idx="4">
                  <c:v>164</c:v>
                </c:pt>
                <c:pt idx="5">
                  <c:v>144</c:v>
                </c:pt>
                <c:pt idx="6">
                  <c:v>128</c:v>
                </c:pt>
                <c:pt idx="7">
                  <c:v>116</c:v>
                </c:pt>
                <c:pt idx="8">
                  <c:v>86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E-4F50-A5DF-D2BF6B1E0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117583"/>
        <c:axId val="709118063"/>
      </c:lineChart>
      <c:catAx>
        <c:axId val="70911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8063"/>
        <c:crosses val="autoZero"/>
        <c:auto val="1"/>
        <c:lblAlgn val="ctr"/>
        <c:lblOffset val="100"/>
        <c:noMultiLvlLbl val="0"/>
      </c:catAx>
      <c:valAx>
        <c:axId val="7091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SPRINT</a:t>
            </a:r>
            <a:r>
              <a:rPr lang="en-GB" baseline="0"/>
              <a:t> 1 CHART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[1]Sprint1!$E$16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[1]Sprint1!$G$109:$T$109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198</c:v>
                </c:pt>
                <c:pt idx="3">
                  <c:v>184</c:v>
                </c:pt>
                <c:pt idx="4">
                  <c:v>162</c:v>
                </c:pt>
                <c:pt idx="5">
                  <c:v>144</c:v>
                </c:pt>
                <c:pt idx="6">
                  <c:v>128</c:v>
                </c:pt>
                <c:pt idx="7">
                  <c:v>120</c:v>
                </c:pt>
                <c:pt idx="8">
                  <c:v>94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9F-4A54-8B14-6F8A02D728C3}"/>
            </c:ext>
          </c:extLst>
        </c:ser>
        <c:ser>
          <c:idx val="1"/>
          <c:order val="1"/>
          <c:tx>
            <c:strRef>
              <c:f>[1]Sprint1!$F$16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[1]Sprint1!$G$110:$T$110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196</c:v>
                </c:pt>
                <c:pt idx="3">
                  <c:v>184</c:v>
                </c:pt>
                <c:pt idx="4">
                  <c:v>164</c:v>
                </c:pt>
                <c:pt idx="5">
                  <c:v>144</c:v>
                </c:pt>
                <c:pt idx="6">
                  <c:v>128</c:v>
                </c:pt>
                <c:pt idx="7">
                  <c:v>116</c:v>
                </c:pt>
                <c:pt idx="8">
                  <c:v>86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9F-4A54-8B14-6F8A02D72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117583"/>
        <c:axId val="709118063"/>
      </c:lineChart>
      <c:catAx>
        <c:axId val="70911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8063"/>
        <c:crosses val="autoZero"/>
        <c:auto val="1"/>
        <c:lblAlgn val="ctr"/>
        <c:lblOffset val="100"/>
        <c:noMultiLvlLbl val="0"/>
      </c:catAx>
      <c:valAx>
        <c:axId val="7091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3'!$I$15:$AB$15</c:f>
              <c:numCache>
                <c:formatCode>General</c:formatCode>
                <c:ptCount val="20"/>
              </c:numCache>
            </c:numRef>
          </c:cat>
          <c:val>
            <c:numRef>
              <c:f>'Sprint 3'!$I$108:$AB$108</c:f>
              <c:numCache>
                <c:formatCode>General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5B-465B-8891-95096C5F9221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3'!$I$15:$AB$15</c:f>
              <c:numCache>
                <c:formatCode>General</c:formatCode>
                <c:ptCount val="20"/>
              </c:numCache>
            </c:numRef>
          </c:cat>
          <c:val>
            <c:numRef>
              <c:f>'Sprint 3'!$I$109:$AB$109</c:f>
              <c:numCache>
                <c:formatCode>General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5B-465B-8891-95096C5F9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0544"/>
        <c:axId val="226297600"/>
      </c:lineChart>
      <c:catAx>
        <c:axId val="226290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26297600"/>
        <c:crosses val="autoZero"/>
        <c:auto val="1"/>
        <c:lblAlgn val="ctr"/>
        <c:lblOffset val="100"/>
        <c:noMultiLvlLbl val="1"/>
      </c:catAx>
      <c:valAx>
        <c:axId val="2262976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054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SPRINT</a:t>
            </a:r>
            <a:r>
              <a:rPr lang="en-GB" baseline="0"/>
              <a:t> 1 CHART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[1]Sprint1!$E$16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[1]Sprint1!$G$109:$T$109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198</c:v>
                </c:pt>
                <c:pt idx="3">
                  <c:v>184</c:v>
                </c:pt>
                <c:pt idx="4">
                  <c:v>162</c:v>
                </c:pt>
                <c:pt idx="5">
                  <c:v>144</c:v>
                </c:pt>
                <c:pt idx="6">
                  <c:v>128</c:v>
                </c:pt>
                <c:pt idx="7">
                  <c:v>120</c:v>
                </c:pt>
                <c:pt idx="8">
                  <c:v>94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48-409A-8202-78FEC5D7B515}"/>
            </c:ext>
          </c:extLst>
        </c:ser>
        <c:ser>
          <c:idx val="1"/>
          <c:order val="1"/>
          <c:tx>
            <c:strRef>
              <c:f>[1]Sprint1!$F$16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[1]Sprint1!$G$110:$T$110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196</c:v>
                </c:pt>
                <c:pt idx="3">
                  <c:v>184</c:v>
                </c:pt>
                <c:pt idx="4">
                  <c:v>164</c:v>
                </c:pt>
                <c:pt idx="5">
                  <c:v>144</c:v>
                </c:pt>
                <c:pt idx="6">
                  <c:v>128</c:v>
                </c:pt>
                <c:pt idx="7">
                  <c:v>116</c:v>
                </c:pt>
                <c:pt idx="8">
                  <c:v>86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48-409A-8202-78FEC5D7B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117583"/>
        <c:axId val="709118063"/>
      </c:lineChart>
      <c:catAx>
        <c:axId val="70911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8063"/>
        <c:crosses val="autoZero"/>
        <c:auto val="1"/>
        <c:lblAlgn val="ctr"/>
        <c:lblOffset val="100"/>
        <c:noMultiLvlLbl val="0"/>
      </c:catAx>
      <c:valAx>
        <c:axId val="7091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SPRINT</a:t>
            </a:r>
            <a:r>
              <a:rPr lang="en-GB" baseline="0"/>
              <a:t> 1 CHART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[1]Sprint1!$E$16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[1]Sprint1!$G$109:$T$109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198</c:v>
                </c:pt>
                <c:pt idx="3">
                  <c:v>184</c:v>
                </c:pt>
                <c:pt idx="4">
                  <c:v>162</c:v>
                </c:pt>
                <c:pt idx="5">
                  <c:v>144</c:v>
                </c:pt>
                <c:pt idx="6">
                  <c:v>128</c:v>
                </c:pt>
                <c:pt idx="7">
                  <c:v>120</c:v>
                </c:pt>
                <c:pt idx="8">
                  <c:v>94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24-43DA-8D0C-277D1D97369B}"/>
            </c:ext>
          </c:extLst>
        </c:ser>
        <c:ser>
          <c:idx val="1"/>
          <c:order val="1"/>
          <c:tx>
            <c:strRef>
              <c:f>[1]Sprint1!$F$16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[1]Sprint1!$G$110:$T$110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196</c:v>
                </c:pt>
                <c:pt idx="3">
                  <c:v>184</c:v>
                </c:pt>
                <c:pt idx="4">
                  <c:v>164</c:v>
                </c:pt>
                <c:pt idx="5">
                  <c:v>144</c:v>
                </c:pt>
                <c:pt idx="6">
                  <c:v>128</c:v>
                </c:pt>
                <c:pt idx="7">
                  <c:v>116</c:v>
                </c:pt>
                <c:pt idx="8">
                  <c:v>86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24-43DA-8D0C-277D1D973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117583"/>
        <c:axId val="709118063"/>
      </c:lineChart>
      <c:catAx>
        <c:axId val="70911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8063"/>
        <c:crosses val="autoZero"/>
        <c:auto val="1"/>
        <c:lblAlgn val="ctr"/>
        <c:lblOffset val="100"/>
        <c:noMultiLvlLbl val="0"/>
      </c:catAx>
      <c:valAx>
        <c:axId val="7091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SPRINT</a:t>
            </a:r>
            <a:r>
              <a:rPr lang="en-GB" baseline="0"/>
              <a:t> 1 CHART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[1]Sprint1!$E$16</c:f>
              <c:strCache>
                <c:ptCount val="1"/>
                <c:pt idx="0">
                  <c:v>Thực Tế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[1]Sprint1!$G$109:$T$109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198</c:v>
                </c:pt>
                <c:pt idx="3">
                  <c:v>184</c:v>
                </c:pt>
                <c:pt idx="4">
                  <c:v>162</c:v>
                </c:pt>
                <c:pt idx="5">
                  <c:v>144</c:v>
                </c:pt>
                <c:pt idx="6">
                  <c:v>128</c:v>
                </c:pt>
                <c:pt idx="7">
                  <c:v>120</c:v>
                </c:pt>
                <c:pt idx="8">
                  <c:v>94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B-4DBD-B9D1-2224F973042D}"/>
            </c:ext>
          </c:extLst>
        </c:ser>
        <c:ser>
          <c:idx val="1"/>
          <c:order val="1"/>
          <c:tx>
            <c:strRef>
              <c:f>[1]Sprint1!$F$16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[1]Sprint1!$G$16:$T$16</c:f>
              <c:numCache>
                <c:formatCode>General</c:formatCode>
                <c:ptCount val="14"/>
                <c:pt idx="0">
                  <c:v>45966</c:v>
                </c:pt>
                <c:pt idx="1">
                  <c:v>45967</c:v>
                </c:pt>
                <c:pt idx="2">
                  <c:v>45968</c:v>
                </c:pt>
                <c:pt idx="3">
                  <c:v>45969</c:v>
                </c:pt>
                <c:pt idx="4">
                  <c:v>45970</c:v>
                </c:pt>
                <c:pt idx="5">
                  <c:v>45971</c:v>
                </c:pt>
                <c:pt idx="6">
                  <c:v>45972</c:v>
                </c:pt>
                <c:pt idx="7">
                  <c:v>45973</c:v>
                </c:pt>
                <c:pt idx="8">
                  <c:v>45974</c:v>
                </c:pt>
                <c:pt idx="9">
                  <c:v>45975</c:v>
                </c:pt>
                <c:pt idx="10">
                  <c:v>45976</c:v>
                </c:pt>
                <c:pt idx="11">
                  <c:v>45977</c:v>
                </c:pt>
                <c:pt idx="12">
                  <c:v>45978</c:v>
                </c:pt>
                <c:pt idx="13">
                  <c:v>45979</c:v>
                </c:pt>
              </c:numCache>
            </c:numRef>
          </c:cat>
          <c:val>
            <c:numRef>
              <c:f>[1]Sprint1!$G$110:$T$110</c:f>
              <c:numCache>
                <c:formatCode>General</c:formatCode>
                <c:ptCount val="14"/>
                <c:pt idx="0">
                  <c:v>220</c:v>
                </c:pt>
                <c:pt idx="1">
                  <c:v>212</c:v>
                </c:pt>
                <c:pt idx="2">
                  <c:v>196</c:v>
                </c:pt>
                <c:pt idx="3">
                  <c:v>184</c:v>
                </c:pt>
                <c:pt idx="4">
                  <c:v>164</c:v>
                </c:pt>
                <c:pt idx="5">
                  <c:v>144</c:v>
                </c:pt>
                <c:pt idx="6">
                  <c:v>128</c:v>
                </c:pt>
                <c:pt idx="7">
                  <c:v>116</c:v>
                </c:pt>
                <c:pt idx="8">
                  <c:v>86</c:v>
                </c:pt>
                <c:pt idx="9">
                  <c:v>76</c:v>
                </c:pt>
                <c:pt idx="10">
                  <c:v>64</c:v>
                </c:pt>
                <c:pt idx="11">
                  <c:v>42</c:v>
                </c:pt>
                <c:pt idx="12">
                  <c:v>20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2B-4DBD-B9D1-2224F9730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117583"/>
        <c:axId val="709118063"/>
      </c:lineChart>
      <c:catAx>
        <c:axId val="70911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8063"/>
        <c:crosses val="autoZero"/>
        <c:auto val="1"/>
        <c:lblAlgn val="ctr"/>
        <c:lblOffset val="100"/>
        <c:noMultiLvlLbl val="0"/>
      </c:catAx>
      <c:valAx>
        <c:axId val="70911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11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1.png"/><Relationship Id="rId1" Type="http://schemas.openxmlformats.org/officeDocument/2006/relationships/chart" Target="../charts/chart2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140</xdr:row>
      <xdr:rowOff>0</xdr:rowOff>
    </xdr:from>
    <xdr:ext cx="400050" cy="200025"/>
    <xdr:pic>
      <xdr:nvPicPr>
        <xdr:cNvPr id="3" name="image1.png" title="Hình ảnh">
          <a:extLst>
            <a:ext uri="{FF2B5EF4-FFF2-40B4-BE49-F238E27FC236}">
              <a16:creationId xmlns:a16="http://schemas.microsoft.com/office/drawing/2014/main" id="{DDA957E4-F882-4715-966B-A07497CEF21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32453580"/>
          <a:ext cx="400050" cy="200025"/>
        </a:xfrm>
        <a:prstGeom prst="rect">
          <a:avLst/>
        </a:prstGeom>
        <a:noFill/>
      </xdr:spPr>
    </xdr:pic>
    <xdr:clientData fLocksWithSheet="0"/>
  </xdr:oneCellAnchor>
  <xdr:twoCellAnchor>
    <xdr:from>
      <xdr:col>2</xdr:col>
      <xdr:colOff>3635657</xdr:colOff>
      <xdr:row>109</xdr:row>
      <xdr:rowOff>35411</xdr:rowOff>
    </xdr:from>
    <xdr:to>
      <xdr:col>15</xdr:col>
      <xdr:colOff>699864</xdr:colOff>
      <xdr:row>135</xdr:row>
      <xdr:rowOff>182956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D4F2DFB-613F-4F97-ACC0-556921BE2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368832</xdr:colOff>
      <xdr:row>102</xdr:row>
      <xdr:rowOff>9602</xdr:rowOff>
    </xdr:from>
    <xdr:to>
      <xdr:col>12</xdr:col>
      <xdr:colOff>245568</xdr:colOff>
      <xdr:row>123</xdr:row>
      <xdr:rowOff>109496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0</xdr:colOff>
      <xdr:row>130</xdr:row>
      <xdr:rowOff>0</xdr:rowOff>
    </xdr:from>
    <xdr:ext cx="400050" cy="200025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1C548682-0204-49C8-8C3C-D9AFB597564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34373820"/>
          <a:ext cx="400050" cy="200025"/>
        </a:xfrm>
        <a:prstGeom prst="rect">
          <a:avLst/>
        </a:prstGeom>
        <a:noFill/>
      </xdr:spPr>
    </xdr:pic>
    <xdr:clientData fLocksWithSheet="0"/>
  </xdr:oneCellAnchor>
  <xdr:twoCellAnchor>
    <xdr:from>
      <xdr:col>2</xdr:col>
      <xdr:colOff>803745</xdr:colOff>
      <xdr:row>97</xdr:row>
      <xdr:rowOff>115022</xdr:rowOff>
    </xdr:from>
    <xdr:to>
      <xdr:col>11</xdr:col>
      <xdr:colOff>461026</xdr:colOff>
      <xdr:row>124</xdr:row>
      <xdr:rowOff>12358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A01383-ED41-40B8-B6FD-5738DF17AF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0</xdr:col>
      <xdr:colOff>0</xdr:colOff>
      <xdr:row>130</xdr:row>
      <xdr:rowOff>0</xdr:rowOff>
    </xdr:from>
    <xdr:ext cx="400050" cy="200025"/>
    <xdr:pic>
      <xdr:nvPicPr>
        <xdr:cNvPr id="5" name="image1.png" title="Hình ảnh">
          <a:extLst>
            <a:ext uri="{FF2B5EF4-FFF2-40B4-BE49-F238E27FC236}">
              <a16:creationId xmlns:a16="http://schemas.microsoft.com/office/drawing/2014/main" id="{1D2B09A5-8EDC-4991-9CE1-77074266779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33200340"/>
          <a:ext cx="400050" cy="200025"/>
        </a:xfrm>
        <a:prstGeom prst="rect">
          <a:avLst/>
        </a:prstGeom>
        <a:noFill/>
      </xdr:spPr>
    </xdr:pic>
    <xdr:clientData fLocksWithSheet="0"/>
  </xdr:oneCellAnchor>
  <xdr:twoCellAnchor>
    <xdr:from>
      <xdr:col>2</xdr:col>
      <xdr:colOff>803745</xdr:colOff>
      <xdr:row>97</xdr:row>
      <xdr:rowOff>115022</xdr:rowOff>
    </xdr:from>
    <xdr:to>
      <xdr:col>11</xdr:col>
      <xdr:colOff>461026</xdr:colOff>
      <xdr:row>124</xdr:row>
      <xdr:rowOff>12358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08F5F3-CF1D-4EE8-9BDF-12525F976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0</xdr:colOff>
      <xdr:row>130</xdr:row>
      <xdr:rowOff>0</xdr:rowOff>
    </xdr:from>
    <xdr:ext cx="400050" cy="200025"/>
    <xdr:pic>
      <xdr:nvPicPr>
        <xdr:cNvPr id="7" name="image1.png" title="Hình ảnh">
          <a:extLst>
            <a:ext uri="{FF2B5EF4-FFF2-40B4-BE49-F238E27FC236}">
              <a16:creationId xmlns:a16="http://schemas.microsoft.com/office/drawing/2014/main" id="{C6ABA5CA-E4D3-4B9B-BFBF-FA779B9C7D9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33200340"/>
          <a:ext cx="400050" cy="200025"/>
        </a:xfrm>
        <a:prstGeom prst="rect">
          <a:avLst/>
        </a:prstGeom>
        <a:noFill/>
      </xdr:spPr>
    </xdr:pic>
    <xdr:clientData fLocksWithSheet="0"/>
  </xdr:oneCellAnchor>
  <xdr:twoCellAnchor>
    <xdr:from>
      <xdr:col>2</xdr:col>
      <xdr:colOff>803745</xdr:colOff>
      <xdr:row>97</xdr:row>
      <xdr:rowOff>115022</xdr:rowOff>
    </xdr:from>
    <xdr:to>
      <xdr:col>11</xdr:col>
      <xdr:colOff>461026</xdr:colOff>
      <xdr:row>124</xdr:row>
      <xdr:rowOff>12358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3DDDACB-807F-4A85-A665-3B64836D4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1266264</xdr:colOff>
      <xdr:row>109</xdr:row>
      <xdr:rowOff>168088</xdr:rowOff>
    </xdr:from>
    <xdr:to>
      <xdr:col>13</xdr:col>
      <xdr:colOff>123263</xdr:colOff>
      <xdr:row>130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0</xdr:colOff>
      <xdr:row>130</xdr:row>
      <xdr:rowOff>0</xdr:rowOff>
    </xdr:from>
    <xdr:ext cx="400050" cy="200025"/>
    <xdr:pic>
      <xdr:nvPicPr>
        <xdr:cNvPr id="3" name="image1.png" title="Hình ảnh">
          <a:extLst>
            <a:ext uri="{FF2B5EF4-FFF2-40B4-BE49-F238E27FC236}">
              <a16:creationId xmlns:a16="http://schemas.microsoft.com/office/drawing/2014/main" id="{B61216C6-89B6-4719-B312-18FF83C56A9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34373820"/>
          <a:ext cx="400050" cy="200025"/>
        </a:xfrm>
        <a:prstGeom prst="rect">
          <a:avLst/>
        </a:prstGeom>
        <a:noFill/>
      </xdr:spPr>
    </xdr:pic>
    <xdr:clientData fLocksWithSheet="0"/>
  </xdr:oneCellAnchor>
  <xdr:twoCellAnchor>
    <xdr:from>
      <xdr:col>2</xdr:col>
      <xdr:colOff>803745</xdr:colOff>
      <xdr:row>97</xdr:row>
      <xdr:rowOff>115022</xdr:rowOff>
    </xdr:from>
    <xdr:to>
      <xdr:col>11</xdr:col>
      <xdr:colOff>461026</xdr:colOff>
      <xdr:row>124</xdr:row>
      <xdr:rowOff>12358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D9E572-F55B-4AF9-AFA2-322B1610B5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0</xdr:col>
      <xdr:colOff>0</xdr:colOff>
      <xdr:row>130</xdr:row>
      <xdr:rowOff>0</xdr:rowOff>
    </xdr:from>
    <xdr:ext cx="400050" cy="200025"/>
    <xdr:pic>
      <xdr:nvPicPr>
        <xdr:cNvPr id="5" name="image1.png" title="Hình ảnh">
          <a:extLst>
            <a:ext uri="{FF2B5EF4-FFF2-40B4-BE49-F238E27FC236}">
              <a16:creationId xmlns:a16="http://schemas.microsoft.com/office/drawing/2014/main" id="{F86D5796-4A82-4319-963E-CE4515CFC2F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33200340"/>
          <a:ext cx="400050" cy="200025"/>
        </a:xfrm>
        <a:prstGeom prst="rect">
          <a:avLst/>
        </a:prstGeom>
        <a:noFill/>
      </xdr:spPr>
    </xdr:pic>
    <xdr:clientData fLocksWithSheet="0"/>
  </xdr:oneCellAnchor>
  <xdr:twoCellAnchor>
    <xdr:from>
      <xdr:col>2</xdr:col>
      <xdr:colOff>803745</xdr:colOff>
      <xdr:row>97</xdr:row>
      <xdr:rowOff>115022</xdr:rowOff>
    </xdr:from>
    <xdr:to>
      <xdr:col>11</xdr:col>
      <xdr:colOff>461026</xdr:colOff>
      <xdr:row>124</xdr:row>
      <xdr:rowOff>12358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FC79CD7-A2CC-44DE-8B73-6A4864FAB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0</xdr:colOff>
      <xdr:row>130</xdr:row>
      <xdr:rowOff>0</xdr:rowOff>
    </xdr:from>
    <xdr:ext cx="400050" cy="200025"/>
    <xdr:pic>
      <xdr:nvPicPr>
        <xdr:cNvPr id="7" name="image1.png" title="Hình ảnh">
          <a:extLst>
            <a:ext uri="{FF2B5EF4-FFF2-40B4-BE49-F238E27FC236}">
              <a16:creationId xmlns:a16="http://schemas.microsoft.com/office/drawing/2014/main" id="{6889C0F3-A20E-4017-8835-F111C8072BF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33200340"/>
          <a:ext cx="400050" cy="200025"/>
        </a:xfrm>
        <a:prstGeom prst="rect">
          <a:avLst/>
        </a:prstGeom>
        <a:noFill/>
      </xdr:spPr>
    </xdr:pic>
    <xdr:clientData fLocksWithSheet="0"/>
  </xdr:oneCellAnchor>
  <xdr:twoCellAnchor>
    <xdr:from>
      <xdr:col>2</xdr:col>
      <xdr:colOff>803745</xdr:colOff>
      <xdr:row>97</xdr:row>
      <xdr:rowOff>115022</xdr:rowOff>
    </xdr:from>
    <xdr:to>
      <xdr:col>11</xdr:col>
      <xdr:colOff>461026</xdr:colOff>
      <xdr:row>124</xdr:row>
      <xdr:rowOff>12358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A760E91-E6F8-4333-B2E8-EF6111F06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72;&#7891;%20&#225;n%20CS%20445\&#273;&#7891;%20&#225;n%20cs445\&#273;&#7891;%20&#225;n%20cs445\&#273;&#7891;%20&#225;n%20cs445\0425.CS445-CA-11.ProjectSprintBacklog.xlsx" TargetMode="External"/><Relationship Id="rId1" Type="http://schemas.openxmlformats.org/officeDocument/2006/relationships/externalLinkPath" Target="file:///E:\&#272;&#7891;%20&#225;n%20CS%20445\&#273;&#7891;%20&#225;n%20cs445\&#273;&#7891;%20&#225;n%20cs445\&#273;&#7891;%20&#225;n%20cs445\0425.CS445-CA-11.ProjectSprintBack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print1"/>
      <sheetName val="Sprint2"/>
      <sheetName val="Sprint3"/>
      <sheetName val="Report"/>
    </sheetNames>
    <sheetDataSet>
      <sheetData sheetId="0">
        <row r="16">
          <cell r="E16" t="str">
            <v>Thực Tế</v>
          </cell>
          <cell r="F16" t="str">
            <v>Ước Tính</v>
          </cell>
          <cell r="G16">
            <v>45966</v>
          </cell>
          <cell r="H16">
            <v>45967</v>
          </cell>
          <cell r="I16">
            <v>45968</v>
          </cell>
          <cell r="J16">
            <v>45969</v>
          </cell>
          <cell r="K16">
            <v>45970</v>
          </cell>
          <cell r="L16">
            <v>45971</v>
          </cell>
          <cell r="M16">
            <v>45972</v>
          </cell>
          <cell r="N16">
            <v>45973</v>
          </cell>
          <cell r="O16">
            <v>45974</v>
          </cell>
          <cell r="P16">
            <v>45975</v>
          </cell>
          <cell r="Q16">
            <v>45976</v>
          </cell>
          <cell r="R16">
            <v>45977</v>
          </cell>
          <cell r="S16">
            <v>45978</v>
          </cell>
          <cell r="T16">
            <v>45979</v>
          </cell>
        </row>
        <row r="109">
          <cell r="G109">
            <v>220</v>
          </cell>
          <cell r="H109">
            <v>212</v>
          </cell>
          <cell r="I109">
            <v>198</v>
          </cell>
          <cell r="J109">
            <v>184</v>
          </cell>
          <cell r="K109">
            <v>162</v>
          </cell>
          <cell r="L109">
            <v>144</v>
          </cell>
          <cell r="M109">
            <v>128</v>
          </cell>
          <cell r="N109">
            <v>120</v>
          </cell>
          <cell r="O109">
            <v>94</v>
          </cell>
          <cell r="P109">
            <v>76</v>
          </cell>
          <cell r="Q109">
            <v>64</v>
          </cell>
          <cell r="R109">
            <v>42</v>
          </cell>
          <cell r="S109">
            <v>20</v>
          </cell>
          <cell r="T109">
            <v>0</v>
          </cell>
        </row>
        <row r="110">
          <cell r="G110">
            <v>220</v>
          </cell>
          <cell r="H110">
            <v>212</v>
          </cell>
          <cell r="I110">
            <v>196</v>
          </cell>
          <cell r="J110">
            <v>184</v>
          </cell>
          <cell r="K110">
            <v>164</v>
          </cell>
          <cell r="L110">
            <v>144</v>
          </cell>
          <cell r="M110">
            <v>128</v>
          </cell>
          <cell r="N110">
            <v>116</v>
          </cell>
          <cell r="O110">
            <v>86</v>
          </cell>
          <cell r="P110">
            <v>76</v>
          </cell>
          <cell r="Q110">
            <v>64</v>
          </cell>
          <cell r="R110">
            <v>42</v>
          </cell>
          <cell r="S110">
            <v>20</v>
          </cell>
          <cell r="T110">
            <v>0</v>
          </cell>
        </row>
      </sheetData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31"/>
  <sheetViews>
    <sheetView tabSelected="1" zoomScale="67" zoomScaleNormal="67" workbookViewId="0">
      <selection activeCell="K10" sqref="K10"/>
    </sheetView>
  </sheetViews>
  <sheetFormatPr defaultColWidth="14.44140625" defaultRowHeight="19.95" customHeight="1" x14ac:dyDescent="0.3"/>
  <cols>
    <col min="1" max="1" width="19.5546875" customWidth="1"/>
    <col min="2" max="2" width="20" customWidth="1"/>
    <col min="3" max="3" width="54.77734375" customWidth="1"/>
    <col min="4" max="4" width="23.6640625" customWidth="1"/>
    <col min="5" max="5" width="10.44140625" customWidth="1"/>
    <col min="6" max="6" width="7.44140625" customWidth="1"/>
    <col min="7" max="10" width="9" customWidth="1"/>
    <col min="11" max="11" width="9.109375" customWidth="1"/>
    <col min="12" max="12" width="10.77734375" customWidth="1"/>
    <col min="13" max="14" width="8.88671875" customWidth="1"/>
    <col min="15" max="15" width="9.109375" customWidth="1"/>
    <col min="16" max="16" width="10.77734375" customWidth="1"/>
    <col min="17" max="17" width="9.109375" customWidth="1"/>
    <col min="18" max="18" width="9.44140625" customWidth="1"/>
    <col min="19" max="19" width="10" customWidth="1"/>
    <col min="20" max="20" width="9.44140625" customWidth="1"/>
    <col min="21" max="21" width="11.5546875" customWidth="1"/>
    <col min="22" max="22" width="11.44140625" customWidth="1"/>
  </cols>
  <sheetData>
    <row r="1" spans="1:29" ht="19.95" customHeight="1" x14ac:dyDescent="0.3">
      <c r="A1" s="15" t="s">
        <v>3</v>
      </c>
      <c r="B1" s="63" t="s">
        <v>81</v>
      </c>
      <c r="C1" s="64"/>
      <c r="D1" s="64"/>
      <c r="E1" s="65"/>
      <c r="F1" s="16"/>
      <c r="G1" s="16"/>
      <c r="H1" s="17"/>
      <c r="I1" s="17"/>
      <c r="J1" s="17"/>
      <c r="K1" s="17"/>
      <c r="L1" s="17"/>
      <c r="M1" s="17"/>
      <c r="N1" s="17"/>
      <c r="O1" s="17"/>
      <c r="P1" s="1"/>
      <c r="Q1" s="1"/>
      <c r="R1" s="17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 ht="19.95" customHeight="1" x14ac:dyDescent="0.3">
      <c r="A2" s="15" t="s">
        <v>2</v>
      </c>
      <c r="B2" s="63" t="s">
        <v>4</v>
      </c>
      <c r="C2" s="64"/>
      <c r="D2" s="64"/>
      <c r="E2" s="65"/>
      <c r="F2" s="16"/>
      <c r="G2" s="16"/>
      <c r="H2" s="17"/>
      <c r="I2" s="17"/>
      <c r="J2" s="17"/>
      <c r="K2" s="17"/>
      <c r="L2" s="17"/>
      <c r="M2" s="17"/>
      <c r="N2" s="17"/>
      <c r="O2" s="17"/>
      <c r="P2" s="1"/>
      <c r="Q2" s="1"/>
      <c r="R2" s="1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</row>
    <row r="3" spans="1:29" ht="19.95" customHeight="1" x14ac:dyDescent="0.3">
      <c r="A3" s="15" t="s">
        <v>1</v>
      </c>
      <c r="B3" s="66">
        <v>46101</v>
      </c>
      <c r="C3" s="67"/>
      <c r="D3" s="67"/>
      <c r="E3" s="68"/>
      <c r="F3" s="19"/>
      <c r="G3" s="19"/>
      <c r="H3" s="17"/>
      <c r="I3" s="17"/>
      <c r="J3" s="17"/>
      <c r="K3" s="17"/>
      <c r="L3" s="17"/>
      <c r="M3" s="17"/>
      <c r="N3" s="17"/>
      <c r="O3" s="17"/>
      <c r="P3" s="1"/>
      <c r="Q3" s="1"/>
      <c r="R3" s="1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</row>
    <row r="4" spans="1:29" ht="19.95" customHeight="1" x14ac:dyDescent="0.3">
      <c r="A4" s="15" t="s">
        <v>0</v>
      </c>
      <c r="B4" s="66">
        <v>46116</v>
      </c>
      <c r="C4" s="67"/>
      <c r="D4" s="67"/>
      <c r="E4" s="68"/>
      <c r="F4" s="19"/>
      <c r="G4" s="19"/>
      <c r="H4" s="17"/>
      <c r="I4" s="17"/>
      <c r="J4" s="17"/>
      <c r="K4" s="17"/>
      <c r="L4" s="17"/>
      <c r="M4" s="17"/>
      <c r="N4" s="17"/>
      <c r="O4" s="17"/>
      <c r="P4" s="1"/>
      <c r="Q4" s="1"/>
      <c r="R4" s="1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</row>
    <row r="5" spans="1:29" ht="19.9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</row>
    <row r="6" spans="1:29" ht="19.95" customHeight="1" x14ac:dyDescent="0.3">
      <c r="A6" s="69" t="s">
        <v>24</v>
      </c>
      <c r="B6" s="70"/>
      <c r="C6" s="70"/>
      <c r="D6" s="70"/>
      <c r="E6" s="70"/>
      <c r="F6" s="70"/>
      <c r="G6" s="70"/>
      <c r="H6" s="70"/>
      <c r="I6" s="71"/>
      <c r="J6" s="1"/>
      <c r="K6" s="20"/>
      <c r="L6" s="81" t="s">
        <v>25</v>
      </c>
      <c r="M6" s="82"/>
      <c r="N6" s="82"/>
      <c r="O6" s="1"/>
      <c r="P6" s="1"/>
      <c r="Q6" s="1"/>
      <c r="R6" s="1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</row>
    <row r="7" spans="1:29" ht="19.95" customHeight="1" x14ac:dyDescent="0.3">
      <c r="A7" s="21" t="s">
        <v>26</v>
      </c>
      <c r="B7" s="83" t="s">
        <v>27</v>
      </c>
      <c r="C7" s="75"/>
      <c r="D7" s="22" t="s">
        <v>9</v>
      </c>
      <c r="E7" s="84" t="s">
        <v>18</v>
      </c>
      <c r="F7" s="70"/>
      <c r="G7" s="70"/>
      <c r="H7" s="70"/>
      <c r="I7" s="71"/>
      <c r="J7" s="1"/>
      <c r="K7" s="23"/>
      <c r="L7" s="81" t="s">
        <v>28</v>
      </c>
      <c r="M7" s="82"/>
      <c r="N7" s="82"/>
      <c r="O7" s="1"/>
      <c r="P7" s="1"/>
      <c r="Q7" s="1"/>
      <c r="R7" s="1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</row>
    <row r="8" spans="1:29" ht="19.95" customHeight="1" x14ac:dyDescent="0.3">
      <c r="A8" s="24">
        <v>1</v>
      </c>
      <c r="B8" s="87" t="s">
        <v>29</v>
      </c>
      <c r="C8" s="71"/>
      <c r="D8" s="25">
        <f xml:space="preserve"> SUMIF(D17:D104, "Hưng",E17:E104) + SUMIF(D17:D104, "All Team", E17:E104)/5 + SUMIF(D17:D104, "Hưng, Khải", E17:E104)/2</f>
        <v>40</v>
      </c>
      <c r="E8" s="88">
        <f xml:space="preserve"> SUMIF(D17:D104, "Hưng",F17:F104) + SUMIF(D17:D104, "All Team", F17:F104)/5+ SUMIF(D17:D104, "Hưng, Khải", F17:F104)/2</f>
        <v>42.8</v>
      </c>
      <c r="F8" s="76"/>
      <c r="G8" s="76"/>
      <c r="H8" s="76"/>
      <c r="I8" s="89"/>
      <c r="J8" s="1"/>
      <c r="K8" s="26"/>
      <c r="L8" s="81" t="s">
        <v>21</v>
      </c>
      <c r="M8" s="82"/>
      <c r="N8" s="82"/>
      <c r="O8" s="1"/>
      <c r="P8" s="1"/>
      <c r="Q8" s="1"/>
      <c r="R8" s="1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</row>
    <row r="9" spans="1:29" ht="19.95" customHeight="1" x14ac:dyDescent="0.3">
      <c r="A9" s="24">
        <v>2</v>
      </c>
      <c r="B9" s="61" t="s">
        <v>30</v>
      </c>
      <c r="C9" s="62"/>
      <c r="D9" s="25">
        <f xml:space="preserve"> SUMIF(D17:D104, "Khải",E17:E104) + SUMIF(D17:D104, "All Team", E17:E104)/5 + SUMIF(D17:D104, "Hưng, Khải", E17:E104)/2</f>
        <v>40</v>
      </c>
      <c r="E9" s="76">
        <f ca="1" xml:space="preserve"> SUMIF(D17:D104, "Khải",F17:F104) + SUMIF(D17:D104, "All Team", F17:F104)/5 + SUMIF(D17:D104, "Hưng, Khải", F17:F103)/2</f>
        <v>40.799999999999997</v>
      </c>
      <c r="F9" s="77"/>
      <c r="G9" s="77"/>
      <c r="H9" s="77"/>
      <c r="I9" s="78"/>
      <c r="J9" s="1"/>
      <c r="K9" s="17"/>
      <c r="L9" s="85"/>
      <c r="M9" s="86"/>
      <c r="N9" s="86"/>
      <c r="O9" s="1"/>
      <c r="P9" s="1"/>
      <c r="Q9" s="1"/>
      <c r="R9" s="1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</row>
    <row r="10" spans="1:29" ht="19.95" customHeight="1" x14ac:dyDescent="0.3">
      <c r="A10" s="24">
        <v>3</v>
      </c>
      <c r="B10" s="61" t="s">
        <v>31</v>
      </c>
      <c r="C10" s="62"/>
      <c r="D10" s="25">
        <f xml:space="preserve"> SUMIF(D17:D104, "Lĩnh",E17:E104) + SUMIF(D17:D104, "All Team", E17:E104)/5</f>
        <v>28</v>
      </c>
      <c r="E10" s="76">
        <f xml:space="preserve"> SUMIF(D17:D104, "Lĩnh",F17:F104) + SUMIF(D17:D104, "All Team", F17:F104)/5</f>
        <v>29.8</v>
      </c>
      <c r="F10" s="77"/>
      <c r="G10" s="77"/>
      <c r="H10" s="77"/>
      <c r="I10" s="78"/>
      <c r="J10" s="1"/>
      <c r="K10" s="17"/>
      <c r="L10" s="85"/>
      <c r="M10" s="86"/>
      <c r="N10" s="86"/>
      <c r="O10" s="1"/>
      <c r="P10" s="1"/>
      <c r="Q10" s="1"/>
      <c r="R10" s="1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</row>
    <row r="11" spans="1:29" ht="19.95" customHeight="1" x14ac:dyDescent="0.3">
      <c r="A11" s="24">
        <v>4</v>
      </c>
      <c r="B11" s="61" t="s">
        <v>82</v>
      </c>
      <c r="C11" s="62"/>
      <c r="D11" s="25">
        <f xml:space="preserve"> SUMIF(D17:D104, "Luyện",E17:E104) + SUMIF(D17:D104, "All Team", E17:E104)/5 + SUMIF(D17:D104, "Thúy, Luyện", E17:E104)/2</f>
        <v>38</v>
      </c>
      <c r="E11" s="76">
        <f xml:space="preserve"> SUMIF(D17:D104, "Luyện",F17:F104) + SUMIF(D17:D104, "All Team", F17:F104)/5 + SUMIF(D17:D104, "Thúy, Luyện", F17:F105)/2</f>
        <v>35.799999999999997</v>
      </c>
      <c r="F11" s="77"/>
      <c r="G11" s="77"/>
      <c r="H11" s="77"/>
      <c r="I11" s="78"/>
      <c r="J11" s="1"/>
      <c r="K11" s="1"/>
      <c r="L11" s="1"/>
      <c r="M11" s="1"/>
      <c r="N11" s="1"/>
      <c r="O11" s="1"/>
      <c r="P11" s="1"/>
      <c r="Q11" s="1"/>
      <c r="R11" s="1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</row>
    <row r="12" spans="1:29" ht="19.95" customHeight="1" x14ac:dyDescent="0.3">
      <c r="A12" s="27">
        <v>5</v>
      </c>
      <c r="B12" s="74" t="s">
        <v>83</v>
      </c>
      <c r="C12" s="75"/>
      <c r="D12" s="25">
        <f xml:space="preserve"> SUMIF(D17:D104, "Thúy",E17:E104) + SUMIF(D17:D104, "All Team", E17:E104)/5 + SUMIF(D17:D104, "Thúy, Luyện", E17:E104)/2</f>
        <v>28</v>
      </c>
      <c r="E12" s="76">
        <f xml:space="preserve"> SUMIF(D17:D104, "Thúy",F17:F104) + SUMIF(D17:D104, "All Team", F17:F104)/5 + SUMIF(D17:D104, "Thúy, Luyện", F17:F105)/2</f>
        <v>28.8</v>
      </c>
      <c r="F12" s="77"/>
      <c r="G12" s="77"/>
      <c r="H12" s="77"/>
      <c r="I12" s="78"/>
      <c r="J12" s="1"/>
      <c r="K12" s="1"/>
      <c r="L12" s="1"/>
      <c r="M12" s="1"/>
      <c r="N12" s="1"/>
      <c r="O12" s="1"/>
      <c r="P12" s="1"/>
      <c r="Q12" s="1"/>
      <c r="R12" s="1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</row>
    <row r="13" spans="1:29" ht="19.95" customHeight="1" x14ac:dyDescent="0.3">
      <c r="A13" s="79" t="s">
        <v>32</v>
      </c>
      <c r="B13" s="80"/>
      <c r="C13" s="62"/>
      <c r="D13" s="28">
        <f>SUM(D8:D12)</f>
        <v>174</v>
      </c>
      <c r="E13" s="90">
        <f ca="1">SUM(E8:I12)</f>
        <v>178</v>
      </c>
      <c r="F13" s="91"/>
      <c r="G13" s="91"/>
      <c r="H13" s="91"/>
      <c r="I13" s="92"/>
      <c r="J13" s="1"/>
      <c r="K13" s="1"/>
      <c r="L13" s="1"/>
      <c r="M13" s="1"/>
      <c r="N13" s="1"/>
      <c r="O13" s="1"/>
      <c r="P13" s="1"/>
      <c r="Q13" s="1"/>
      <c r="R13" s="1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</row>
    <row r="14" spans="1:29" ht="19.95" customHeight="1" x14ac:dyDescent="0.3">
      <c r="A14" s="1"/>
      <c r="B14" s="1"/>
      <c r="C14" s="1"/>
      <c r="D14" s="29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</row>
    <row r="15" spans="1:29" ht="19.9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</row>
    <row r="16" spans="1:29" ht="60" customHeight="1" x14ac:dyDescent="0.3">
      <c r="A16" s="30" t="s">
        <v>5</v>
      </c>
      <c r="B16" s="30" t="s">
        <v>6</v>
      </c>
      <c r="C16" s="30" t="s">
        <v>7</v>
      </c>
      <c r="D16" s="49" t="s">
        <v>8</v>
      </c>
      <c r="E16" s="31" t="s">
        <v>33</v>
      </c>
      <c r="F16" s="32" t="s">
        <v>34</v>
      </c>
      <c r="G16" s="33">
        <v>46101</v>
      </c>
      <c r="H16" s="33">
        <v>46102</v>
      </c>
      <c r="I16" s="33">
        <v>46103</v>
      </c>
      <c r="J16" s="33">
        <v>46104</v>
      </c>
      <c r="K16" s="33">
        <v>46105</v>
      </c>
      <c r="L16" s="33">
        <v>46106</v>
      </c>
      <c r="M16" s="33">
        <v>46107</v>
      </c>
      <c r="N16" s="33">
        <v>46108</v>
      </c>
      <c r="O16" s="33">
        <v>46109</v>
      </c>
      <c r="P16" s="33">
        <v>46110</v>
      </c>
      <c r="Q16" s="33">
        <v>46111</v>
      </c>
      <c r="R16" s="33">
        <v>46112</v>
      </c>
      <c r="S16" s="33">
        <v>46113</v>
      </c>
      <c r="T16" s="33">
        <v>46114</v>
      </c>
      <c r="U16" s="33">
        <v>46115</v>
      </c>
      <c r="V16" s="33">
        <v>46116</v>
      </c>
      <c r="W16" s="18"/>
      <c r="X16" s="18"/>
      <c r="Y16" s="18"/>
      <c r="Z16" s="18"/>
      <c r="AA16" s="18"/>
    </row>
    <row r="17" spans="1:22" ht="19.95" customHeight="1" x14ac:dyDescent="0.3">
      <c r="A17" s="93" t="s">
        <v>35</v>
      </c>
      <c r="B17" s="94" t="s">
        <v>36</v>
      </c>
      <c r="C17" s="95"/>
      <c r="D17" s="50" t="s">
        <v>17</v>
      </c>
      <c r="E17" s="51">
        <v>10</v>
      </c>
      <c r="F17" s="51">
        <v>10</v>
      </c>
      <c r="G17" s="20">
        <v>0</v>
      </c>
      <c r="H17" s="59">
        <v>0</v>
      </c>
      <c r="I17" s="59">
        <v>0</v>
      </c>
      <c r="J17" s="59">
        <v>0</v>
      </c>
      <c r="K17" s="59">
        <v>0</v>
      </c>
      <c r="L17" s="59">
        <v>0</v>
      </c>
      <c r="M17" s="59">
        <v>0</v>
      </c>
      <c r="N17" s="59">
        <v>0</v>
      </c>
      <c r="O17" s="59">
        <v>0</v>
      </c>
      <c r="P17" s="59">
        <v>0</v>
      </c>
      <c r="Q17" s="59">
        <v>0</v>
      </c>
      <c r="R17" s="59">
        <v>0</v>
      </c>
      <c r="S17" s="59">
        <v>0</v>
      </c>
      <c r="T17" s="59">
        <v>0</v>
      </c>
      <c r="U17" s="59">
        <v>0</v>
      </c>
      <c r="V17" s="59">
        <v>0</v>
      </c>
    </row>
    <row r="18" spans="1:22" ht="19.95" customHeight="1" x14ac:dyDescent="0.3">
      <c r="A18" s="93"/>
      <c r="B18" s="94" t="s">
        <v>37</v>
      </c>
      <c r="C18" s="95"/>
      <c r="D18" s="51" t="s">
        <v>22</v>
      </c>
      <c r="E18" s="51">
        <v>4</v>
      </c>
      <c r="F18" s="51">
        <v>4</v>
      </c>
      <c r="G18" s="39">
        <v>4</v>
      </c>
      <c r="H18" s="20">
        <v>0</v>
      </c>
      <c r="I18" s="42">
        <v>0</v>
      </c>
      <c r="J18" s="42">
        <v>0</v>
      </c>
      <c r="K18" s="42">
        <v>0</v>
      </c>
      <c r="L18" s="42">
        <v>0</v>
      </c>
      <c r="M18" s="42">
        <v>0</v>
      </c>
      <c r="N18" s="42">
        <v>0</v>
      </c>
      <c r="O18" s="42">
        <v>0</v>
      </c>
      <c r="P18" s="42">
        <v>0</v>
      </c>
      <c r="Q18" s="42">
        <v>0</v>
      </c>
      <c r="R18" s="42">
        <v>0</v>
      </c>
      <c r="S18" s="42">
        <v>0</v>
      </c>
      <c r="T18" s="42">
        <v>0</v>
      </c>
      <c r="U18" s="42">
        <v>0</v>
      </c>
      <c r="V18" s="42">
        <v>0</v>
      </c>
    </row>
    <row r="19" spans="1:22" ht="19.95" customHeight="1" x14ac:dyDescent="0.3">
      <c r="A19" s="93"/>
      <c r="B19" s="95" t="s">
        <v>38</v>
      </c>
      <c r="C19" s="96"/>
      <c r="D19" s="51" t="s">
        <v>23</v>
      </c>
      <c r="E19" s="51">
        <v>4</v>
      </c>
      <c r="F19" s="51">
        <v>4</v>
      </c>
      <c r="G19" s="39">
        <v>4</v>
      </c>
      <c r="H19" s="40">
        <v>4</v>
      </c>
      <c r="I19" s="20">
        <v>0</v>
      </c>
      <c r="J19" s="42">
        <v>0</v>
      </c>
      <c r="K19" s="42">
        <v>0</v>
      </c>
      <c r="L19" s="42">
        <v>0</v>
      </c>
      <c r="M19" s="42">
        <v>0</v>
      </c>
      <c r="N19" s="42">
        <v>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</row>
    <row r="20" spans="1:22" ht="19.95" customHeight="1" x14ac:dyDescent="0.3">
      <c r="A20" s="93"/>
      <c r="B20" s="97" t="s">
        <v>39</v>
      </c>
      <c r="C20" s="47" t="s">
        <v>84</v>
      </c>
      <c r="D20" s="51" t="s">
        <v>43</v>
      </c>
      <c r="E20" s="51">
        <v>2</v>
      </c>
      <c r="F20" s="51">
        <v>2</v>
      </c>
      <c r="G20" s="39">
        <v>2</v>
      </c>
      <c r="H20" s="39">
        <v>2</v>
      </c>
      <c r="I20" s="39">
        <v>2</v>
      </c>
      <c r="J20" s="20">
        <v>0</v>
      </c>
      <c r="K20" s="42">
        <v>0</v>
      </c>
      <c r="L20" s="42">
        <v>0</v>
      </c>
      <c r="M20" s="42">
        <v>0</v>
      </c>
      <c r="N20" s="42">
        <v>0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</row>
    <row r="21" spans="1:22" ht="19.95" customHeight="1" x14ac:dyDescent="0.3">
      <c r="A21" s="93"/>
      <c r="B21" s="97"/>
      <c r="C21" s="47" t="s">
        <v>85</v>
      </c>
      <c r="D21" s="51" t="s">
        <v>78</v>
      </c>
      <c r="E21" s="51">
        <v>2</v>
      </c>
      <c r="F21" s="51">
        <v>2</v>
      </c>
      <c r="G21" s="39">
        <v>2</v>
      </c>
      <c r="H21" s="39">
        <v>2</v>
      </c>
      <c r="I21" s="39">
        <v>2</v>
      </c>
      <c r="J21" s="20">
        <v>0</v>
      </c>
      <c r="K21" s="42">
        <v>0</v>
      </c>
      <c r="L21" s="42">
        <v>0</v>
      </c>
      <c r="M21" s="42">
        <v>0</v>
      </c>
      <c r="N21" s="42">
        <v>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</row>
    <row r="22" spans="1:22" ht="19.95" customHeight="1" x14ac:dyDescent="0.3">
      <c r="A22" s="93"/>
      <c r="B22" s="97"/>
      <c r="C22" s="47" t="s">
        <v>86</v>
      </c>
      <c r="D22" s="51" t="s">
        <v>40</v>
      </c>
      <c r="E22" s="51">
        <v>1</v>
      </c>
      <c r="F22" s="51">
        <v>1</v>
      </c>
      <c r="G22" s="39">
        <v>1</v>
      </c>
      <c r="H22" s="39">
        <v>1</v>
      </c>
      <c r="I22" s="39">
        <v>1</v>
      </c>
      <c r="J22" s="20">
        <v>0</v>
      </c>
      <c r="K22" s="42">
        <v>0</v>
      </c>
      <c r="L22" s="42">
        <v>0</v>
      </c>
      <c r="M22" s="42">
        <v>0</v>
      </c>
      <c r="N22" s="42">
        <v>0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</row>
    <row r="23" spans="1:22" ht="19.95" customHeight="1" x14ac:dyDescent="0.3">
      <c r="A23" s="93"/>
      <c r="B23" s="97"/>
      <c r="C23" s="47" t="s">
        <v>87</v>
      </c>
      <c r="D23" s="50" t="s">
        <v>40</v>
      </c>
      <c r="E23" s="14">
        <v>2</v>
      </c>
      <c r="F23" s="14">
        <v>2</v>
      </c>
      <c r="G23" s="39">
        <v>2</v>
      </c>
      <c r="H23" s="39">
        <v>2</v>
      </c>
      <c r="I23" s="39">
        <v>2</v>
      </c>
      <c r="J23" s="20">
        <v>0</v>
      </c>
      <c r="K23" s="42">
        <v>0</v>
      </c>
      <c r="L23" s="42">
        <v>0</v>
      </c>
      <c r="M23" s="42">
        <v>0</v>
      </c>
      <c r="N23" s="42">
        <v>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</row>
    <row r="24" spans="1:22" ht="19.95" customHeight="1" x14ac:dyDescent="0.3">
      <c r="A24" s="93"/>
      <c r="B24" s="97"/>
      <c r="C24" s="47" t="s">
        <v>140</v>
      </c>
      <c r="D24" s="50" t="s">
        <v>22</v>
      </c>
      <c r="E24" s="14">
        <v>2</v>
      </c>
      <c r="F24" s="14">
        <v>3</v>
      </c>
      <c r="G24" s="39">
        <v>3</v>
      </c>
      <c r="H24" s="39">
        <v>3</v>
      </c>
      <c r="I24" s="39">
        <v>3</v>
      </c>
      <c r="J24" s="26">
        <v>0</v>
      </c>
      <c r="K24" s="42">
        <v>0</v>
      </c>
      <c r="L24" s="42">
        <v>0</v>
      </c>
      <c r="M24" s="42">
        <v>0</v>
      </c>
      <c r="N24" s="42">
        <v>0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</row>
    <row r="25" spans="1:22" ht="19.95" customHeight="1" x14ac:dyDescent="0.3">
      <c r="A25" s="93"/>
      <c r="B25" s="97"/>
      <c r="C25" s="47"/>
      <c r="D25" s="50"/>
      <c r="E25" s="14"/>
      <c r="F25" s="14"/>
      <c r="G25" s="39"/>
      <c r="H25" s="39"/>
      <c r="I25" s="39"/>
      <c r="J25" s="26">
        <v>1</v>
      </c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</row>
    <row r="26" spans="1:22" ht="19.95" customHeight="1" x14ac:dyDescent="0.3">
      <c r="A26" s="93"/>
      <c r="B26" s="97"/>
      <c r="C26" s="47" t="s">
        <v>141</v>
      </c>
      <c r="D26" s="50" t="s">
        <v>22</v>
      </c>
      <c r="E26" s="14">
        <v>2</v>
      </c>
      <c r="F26" s="14">
        <v>2</v>
      </c>
      <c r="G26" s="39">
        <v>2</v>
      </c>
      <c r="H26" s="39">
        <v>2</v>
      </c>
      <c r="I26" s="39">
        <v>2</v>
      </c>
      <c r="J26" s="20">
        <v>0</v>
      </c>
      <c r="K26" s="42">
        <v>0</v>
      </c>
      <c r="L26" s="42">
        <v>0</v>
      </c>
      <c r="M26" s="42">
        <v>0</v>
      </c>
      <c r="N26" s="42">
        <v>0</v>
      </c>
      <c r="O26" s="42">
        <v>0</v>
      </c>
      <c r="P26" s="42">
        <v>0</v>
      </c>
      <c r="Q26" s="42">
        <v>0</v>
      </c>
      <c r="R26" s="42">
        <v>0</v>
      </c>
      <c r="S26" s="42">
        <v>0</v>
      </c>
      <c r="T26" s="42">
        <v>0</v>
      </c>
      <c r="U26" s="42">
        <v>0</v>
      </c>
      <c r="V26" s="42">
        <v>0</v>
      </c>
    </row>
    <row r="27" spans="1:22" ht="19.95" customHeight="1" x14ac:dyDescent="0.3">
      <c r="A27" s="93"/>
      <c r="B27" s="97"/>
      <c r="C27" s="47" t="s">
        <v>88</v>
      </c>
      <c r="D27" s="50" t="s">
        <v>78</v>
      </c>
      <c r="E27" s="14">
        <v>5</v>
      </c>
      <c r="F27" s="14">
        <v>3</v>
      </c>
      <c r="G27" s="39">
        <v>3</v>
      </c>
      <c r="H27" s="39">
        <v>3</v>
      </c>
      <c r="I27" s="39">
        <v>3</v>
      </c>
      <c r="J27" s="39">
        <v>3</v>
      </c>
      <c r="K27" s="23">
        <v>0</v>
      </c>
      <c r="L27" s="42">
        <v>0</v>
      </c>
      <c r="M27" s="42">
        <v>0</v>
      </c>
      <c r="N27" s="42">
        <v>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</row>
    <row r="28" spans="1:22" ht="19.95" customHeight="1" x14ac:dyDescent="0.3">
      <c r="A28" s="93"/>
      <c r="B28" s="97"/>
      <c r="C28" s="47"/>
      <c r="D28" s="50"/>
      <c r="E28" s="14"/>
      <c r="F28" s="14"/>
      <c r="G28" s="39"/>
      <c r="H28" s="39"/>
      <c r="I28" s="39"/>
      <c r="J28" s="39"/>
      <c r="K28" s="23">
        <v>2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</row>
    <row r="29" spans="1:22" ht="19.95" customHeight="1" x14ac:dyDescent="0.3">
      <c r="A29" s="93"/>
      <c r="B29" s="97"/>
      <c r="C29" s="47" t="s">
        <v>89</v>
      </c>
      <c r="D29" s="50" t="s">
        <v>79</v>
      </c>
      <c r="E29" s="14">
        <v>2</v>
      </c>
      <c r="F29" s="14">
        <v>2</v>
      </c>
      <c r="G29" s="39">
        <v>2</v>
      </c>
      <c r="H29" s="39">
        <v>2</v>
      </c>
      <c r="I29" s="39">
        <v>2</v>
      </c>
      <c r="J29" s="39">
        <v>2</v>
      </c>
      <c r="K29" s="20">
        <v>0</v>
      </c>
      <c r="L29" s="42">
        <v>0</v>
      </c>
      <c r="M29" s="42">
        <v>0</v>
      </c>
      <c r="N29" s="42">
        <v>0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</row>
    <row r="30" spans="1:22" ht="19.95" customHeight="1" x14ac:dyDescent="0.3">
      <c r="A30" s="93"/>
      <c r="B30" s="97"/>
      <c r="C30" s="47" t="s">
        <v>90</v>
      </c>
      <c r="D30" s="50" t="s">
        <v>43</v>
      </c>
      <c r="E30" s="14">
        <v>2</v>
      </c>
      <c r="F30" s="14">
        <v>2</v>
      </c>
      <c r="G30" s="39">
        <v>2</v>
      </c>
      <c r="H30" s="39">
        <v>2</v>
      </c>
      <c r="I30" s="39">
        <v>2</v>
      </c>
      <c r="J30" s="39">
        <v>2</v>
      </c>
      <c r="K30" s="20">
        <v>0</v>
      </c>
      <c r="L30" s="42">
        <v>0</v>
      </c>
      <c r="M30" s="42">
        <v>0</v>
      </c>
      <c r="N30" s="42">
        <v>0</v>
      </c>
      <c r="O30" s="42">
        <v>0</v>
      </c>
      <c r="P30" s="42">
        <v>0</v>
      </c>
      <c r="Q30" s="42">
        <v>0</v>
      </c>
      <c r="R30" s="42">
        <v>0</v>
      </c>
      <c r="S30" s="42">
        <v>0</v>
      </c>
      <c r="T30" s="42">
        <v>0</v>
      </c>
      <c r="U30" s="42">
        <v>0</v>
      </c>
      <c r="V30" s="42">
        <v>0</v>
      </c>
    </row>
    <row r="31" spans="1:22" ht="19.95" customHeight="1" x14ac:dyDescent="0.3">
      <c r="A31" s="93"/>
      <c r="B31" s="97"/>
      <c r="C31" s="47" t="s">
        <v>91</v>
      </c>
      <c r="D31" s="50" t="s">
        <v>79</v>
      </c>
      <c r="E31" s="14">
        <v>1</v>
      </c>
      <c r="F31" s="14">
        <v>1</v>
      </c>
      <c r="G31" s="39">
        <v>1</v>
      </c>
      <c r="H31" s="39">
        <v>1</v>
      </c>
      <c r="I31" s="39">
        <v>1</v>
      </c>
      <c r="J31" s="39">
        <v>1</v>
      </c>
      <c r="K31" s="20">
        <v>0</v>
      </c>
      <c r="L31" s="42">
        <v>0</v>
      </c>
      <c r="M31" s="42">
        <v>0</v>
      </c>
      <c r="N31" s="42">
        <v>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</row>
    <row r="32" spans="1:22" ht="19.95" customHeight="1" x14ac:dyDescent="0.3">
      <c r="A32" s="93"/>
      <c r="B32" s="97"/>
      <c r="C32" s="35" t="s">
        <v>41</v>
      </c>
      <c r="D32" s="50" t="s">
        <v>17</v>
      </c>
      <c r="E32" s="50">
        <v>10</v>
      </c>
      <c r="F32" s="50">
        <v>10</v>
      </c>
      <c r="G32" s="39">
        <v>10</v>
      </c>
      <c r="H32" s="39">
        <v>10</v>
      </c>
      <c r="I32" s="39">
        <v>10</v>
      </c>
      <c r="J32" s="39">
        <v>10</v>
      </c>
      <c r="K32" s="20">
        <v>0</v>
      </c>
      <c r="L32" s="42">
        <v>0</v>
      </c>
      <c r="M32" s="42">
        <v>0</v>
      </c>
      <c r="N32" s="42">
        <v>0</v>
      </c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</row>
    <row r="33" spans="1:22" ht="19.95" customHeight="1" x14ac:dyDescent="0.3">
      <c r="A33" s="93"/>
      <c r="B33" s="98" t="s">
        <v>42</v>
      </c>
      <c r="C33" s="47" t="s">
        <v>92</v>
      </c>
      <c r="D33" s="34" t="s">
        <v>78</v>
      </c>
      <c r="E33" s="51">
        <v>2</v>
      </c>
      <c r="F33" s="51">
        <v>2</v>
      </c>
      <c r="G33" s="48">
        <v>2</v>
      </c>
      <c r="H33" s="48">
        <v>2</v>
      </c>
      <c r="I33" s="48">
        <v>2</v>
      </c>
      <c r="J33" s="48">
        <v>2</v>
      </c>
      <c r="K33" s="48">
        <v>2</v>
      </c>
      <c r="L33" s="20">
        <v>0</v>
      </c>
      <c r="M33" s="42">
        <v>0</v>
      </c>
      <c r="N33" s="42">
        <v>0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</row>
    <row r="34" spans="1:22" ht="19.95" customHeight="1" x14ac:dyDescent="0.3">
      <c r="A34" s="93"/>
      <c r="B34" s="97"/>
      <c r="C34" s="47" t="s">
        <v>93</v>
      </c>
      <c r="D34" s="34" t="s">
        <v>79</v>
      </c>
      <c r="E34" s="51">
        <v>2</v>
      </c>
      <c r="F34" s="51">
        <v>2</v>
      </c>
      <c r="G34" s="48">
        <v>2</v>
      </c>
      <c r="H34" s="48">
        <v>2</v>
      </c>
      <c r="I34" s="48">
        <v>2</v>
      </c>
      <c r="J34" s="48">
        <v>2</v>
      </c>
      <c r="K34" s="48">
        <v>2</v>
      </c>
      <c r="L34" s="20">
        <v>0</v>
      </c>
      <c r="M34" s="42">
        <v>0</v>
      </c>
      <c r="N34" s="42">
        <v>0</v>
      </c>
      <c r="O34" s="42">
        <v>0</v>
      </c>
      <c r="P34" s="42">
        <v>0</v>
      </c>
      <c r="Q34" s="42">
        <v>0</v>
      </c>
      <c r="R34" s="42">
        <v>0</v>
      </c>
      <c r="S34" s="42">
        <v>0</v>
      </c>
      <c r="T34" s="42">
        <v>0</v>
      </c>
      <c r="U34" s="42">
        <v>0</v>
      </c>
      <c r="V34" s="42">
        <v>0</v>
      </c>
    </row>
    <row r="35" spans="1:22" ht="19.95" customHeight="1" x14ac:dyDescent="0.3">
      <c r="A35" s="93"/>
      <c r="B35" s="97"/>
      <c r="C35" s="47" t="s">
        <v>94</v>
      </c>
      <c r="D35" s="34" t="s">
        <v>40</v>
      </c>
      <c r="E35" s="51">
        <v>1</v>
      </c>
      <c r="F35" s="51">
        <v>1</v>
      </c>
      <c r="G35" s="48">
        <v>1</v>
      </c>
      <c r="H35" s="48">
        <v>1</v>
      </c>
      <c r="I35" s="48">
        <v>1</v>
      </c>
      <c r="J35" s="48">
        <v>1</v>
      </c>
      <c r="K35" s="43">
        <v>1</v>
      </c>
      <c r="L35" s="20">
        <v>0</v>
      </c>
      <c r="M35" s="42">
        <v>0</v>
      </c>
      <c r="N35" s="42">
        <v>0</v>
      </c>
      <c r="O35" s="42">
        <v>0</v>
      </c>
      <c r="P35" s="42">
        <v>0</v>
      </c>
      <c r="Q35" s="42">
        <v>0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</row>
    <row r="36" spans="1:22" ht="19.95" customHeight="1" x14ac:dyDescent="0.3">
      <c r="A36" s="93"/>
      <c r="B36" s="97"/>
      <c r="C36" s="47" t="s">
        <v>95</v>
      </c>
      <c r="D36" s="34" t="s">
        <v>22</v>
      </c>
      <c r="E36" s="51">
        <v>1</v>
      </c>
      <c r="F36" s="51">
        <v>1</v>
      </c>
      <c r="G36" s="48">
        <v>1</v>
      </c>
      <c r="H36" s="48">
        <v>1</v>
      </c>
      <c r="I36" s="48">
        <v>1</v>
      </c>
      <c r="J36" s="48">
        <v>1</v>
      </c>
      <c r="K36" s="48">
        <v>1</v>
      </c>
      <c r="L36" s="20">
        <v>0</v>
      </c>
      <c r="M36" s="42">
        <v>0</v>
      </c>
      <c r="N36" s="42">
        <v>0</v>
      </c>
      <c r="O36" s="42">
        <v>0</v>
      </c>
      <c r="P36" s="42">
        <v>0</v>
      </c>
      <c r="Q36" s="42">
        <v>0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</row>
    <row r="37" spans="1:22" ht="19.95" customHeight="1" x14ac:dyDescent="0.3">
      <c r="A37" s="93"/>
      <c r="B37" s="97"/>
      <c r="C37" s="47" t="s">
        <v>142</v>
      </c>
      <c r="D37" s="34" t="s">
        <v>78</v>
      </c>
      <c r="E37" s="51">
        <v>3</v>
      </c>
      <c r="F37" s="51">
        <v>3</v>
      </c>
      <c r="G37" s="48">
        <v>3</v>
      </c>
      <c r="H37" s="48">
        <v>3</v>
      </c>
      <c r="I37" s="48">
        <v>3</v>
      </c>
      <c r="J37" s="48">
        <v>3</v>
      </c>
      <c r="K37" s="48">
        <v>3</v>
      </c>
      <c r="L37" s="20">
        <v>0</v>
      </c>
      <c r="M37" s="42">
        <v>0</v>
      </c>
      <c r="N37" s="42">
        <v>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</row>
    <row r="38" spans="1:22" ht="19.95" customHeight="1" x14ac:dyDescent="0.3">
      <c r="A38" s="93"/>
      <c r="B38" s="97"/>
      <c r="C38" s="47" t="s">
        <v>148</v>
      </c>
      <c r="D38" s="34" t="s">
        <v>22</v>
      </c>
      <c r="E38" s="51">
        <v>2</v>
      </c>
      <c r="F38" s="51">
        <v>2</v>
      </c>
      <c r="G38" s="48">
        <v>2</v>
      </c>
      <c r="H38" s="48">
        <v>2</v>
      </c>
      <c r="I38" s="48">
        <v>2</v>
      </c>
      <c r="J38" s="48">
        <v>2</v>
      </c>
      <c r="K38" s="48">
        <v>2</v>
      </c>
      <c r="L38" s="20">
        <v>0</v>
      </c>
      <c r="M38" s="42">
        <v>0</v>
      </c>
      <c r="N38" s="42">
        <v>0</v>
      </c>
      <c r="O38" s="42">
        <v>0</v>
      </c>
      <c r="P38" s="42">
        <v>0</v>
      </c>
      <c r="Q38" s="42">
        <v>0</v>
      </c>
      <c r="R38" s="42">
        <v>0</v>
      </c>
      <c r="S38" s="42">
        <v>0</v>
      </c>
      <c r="T38" s="42">
        <v>0</v>
      </c>
      <c r="U38" s="42">
        <v>0</v>
      </c>
      <c r="V38" s="42">
        <v>0</v>
      </c>
    </row>
    <row r="39" spans="1:22" ht="19.95" customHeight="1" x14ac:dyDescent="0.3">
      <c r="A39" s="93"/>
      <c r="B39" s="97"/>
      <c r="C39" s="47" t="s">
        <v>96</v>
      </c>
      <c r="D39" s="34" t="s">
        <v>78</v>
      </c>
      <c r="E39" s="51">
        <v>4</v>
      </c>
      <c r="F39" s="51">
        <v>3</v>
      </c>
      <c r="G39" s="48">
        <v>3</v>
      </c>
      <c r="H39" s="48">
        <v>3</v>
      </c>
      <c r="I39" s="48">
        <v>3</v>
      </c>
      <c r="J39" s="48">
        <v>3</v>
      </c>
      <c r="K39" s="48">
        <v>3</v>
      </c>
      <c r="L39" s="48">
        <v>3</v>
      </c>
      <c r="M39" s="23">
        <v>0</v>
      </c>
      <c r="N39" s="42">
        <v>0</v>
      </c>
      <c r="O39" s="42">
        <v>0</v>
      </c>
      <c r="P39" s="42">
        <v>0</v>
      </c>
      <c r="Q39" s="42">
        <v>0</v>
      </c>
      <c r="R39" s="42">
        <v>0</v>
      </c>
      <c r="S39" s="42">
        <v>0</v>
      </c>
      <c r="T39" s="42">
        <v>0</v>
      </c>
      <c r="U39" s="42">
        <v>0</v>
      </c>
      <c r="V39" s="42">
        <v>0</v>
      </c>
    </row>
    <row r="40" spans="1:22" ht="19.95" customHeight="1" x14ac:dyDescent="0.3">
      <c r="A40" s="93"/>
      <c r="B40" s="97"/>
      <c r="C40" s="47"/>
      <c r="D40" s="34"/>
      <c r="E40" s="51"/>
      <c r="F40" s="51"/>
      <c r="G40" s="48"/>
      <c r="H40" s="48"/>
      <c r="I40" s="48"/>
      <c r="J40" s="48"/>
      <c r="K40" s="48"/>
      <c r="L40" s="48"/>
      <c r="M40" s="23">
        <v>1</v>
      </c>
      <c r="N40" s="42">
        <v>0</v>
      </c>
      <c r="O40" s="42">
        <v>0</v>
      </c>
      <c r="P40" s="42">
        <v>0</v>
      </c>
      <c r="Q40" s="42">
        <v>0</v>
      </c>
      <c r="R40" s="42">
        <v>0</v>
      </c>
      <c r="S40" s="42">
        <v>0</v>
      </c>
      <c r="T40" s="42">
        <v>0</v>
      </c>
      <c r="U40" s="42">
        <v>0</v>
      </c>
      <c r="V40" s="42">
        <v>0</v>
      </c>
    </row>
    <row r="41" spans="1:22" ht="19.95" customHeight="1" x14ac:dyDescent="0.3">
      <c r="A41" s="93"/>
      <c r="B41" s="97"/>
      <c r="C41" s="47" t="s">
        <v>97</v>
      </c>
      <c r="D41" s="34" t="s">
        <v>79</v>
      </c>
      <c r="E41" s="51">
        <v>2</v>
      </c>
      <c r="F41" s="51">
        <v>2</v>
      </c>
      <c r="G41" s="48">
        <v>2</v>
      </c>
      <c r="H41" s="48">
        <v>2</v>
      </c>
      <c r="I41" s="48">
        <v>2</v>
      </c>
      <c r="J41" s="48">
        <v>2</v>
      </c>
      <c r="K41" s="48">
        <v>2</v>
      </c>
      <c r="L41" s="48">
        <v>2</v>
      </c>
      <c r="M41" s="20">
        <v>0</v>
      </c>
      <c r="N41" s="42">
        <v>0</v>
      </c>
      <c r="O41" s="42">
        <v>0</v>
      </c>
      <c r="P41" s="42">
        <v>0</v>
      </c>
      <c r="Q41" s="42">
        <v>0</v>
      </c>
      <c r="R41" s="42">
        <v>0</v>
      </c>
      <c r="S41" s="42">
        <v>0</v>
      </c>
      <c r="T41" s="42">
        <v>0</v>
      </c>
      <c r="U41" s="42">
        <v>0</v>
      </c>
      <c r="V41" s="42">
        <v>0</v>
      </c>
    </row>
    <row r="42" spans="1:22" ht="19.95" customHeight="1" x14ac:dyDescent="0.3">
      <c r="A42" s="93"/>
      <c r="B42" s="97"/>
      <c r="C42" s="47" t="s">
        <v>98</v>
      </c>
      <c r="D42" s="34" t="s">
        <v>78</v>
      </c>
      <c r="E42" s="51">
        <v>2</v>
      </c>
      <c r="F42" s="51">
        <v>2</v>
      </c>
      <c r="G42" s="48">
        <v>2</v>
      </c>
      <c r="H42" s="48">
        <v>2</v>
      </c>
      <c r="I42" s="48">
        <v>2</v>
      </c>
      <c r="J42" s="48">
        <v>2</v>
      </c>
      <c r="K42" s="48">
        <v>2</v>
      </c>
      <c r="L42" s="48">
        <v>2</v>
      </c>
      <c r="M42" s="20">
        <v>0</v>
      </c>
      <c r="N42" s="42">
        <v>0</v>
      </c>
      <c r="O42" s="42">
        <v>0</v>
      </c>
      <c r="P42" s="42">
        <v>0</v>
      </c>
      <c r="Q42" s="42">
        <v>0</v>
      </c>
      <c r="R42" s="42">
        <v>0</v>
      </c>
      <c r="S42" s="42">
        <v>0</v>
      </c>
      <c r="T42" s="42">
        <v>0</v>
      </c>
      <c r="U42" s="42">
        <v>0</v>
      </c>
      <c r="V42" s="42">
        <v>0</v>
      </c>
    </row>
    <row r="43" spans="1:22" ht="19.95" customHeight="1" x14ac:dyDescent="0.3">
      <c r="A43" s="93"/>
      <c r="B43" s="97"/>
      <c r="C43" s="47" t="s">
        <v>99</v>
      </c>
      <c r="D43" s="34" t="s">
        <v>22</v>
      </c>
      <c r="E43" s="51">
        <v>2</v>
      </c>
      <c r="F43" s="51">
        <v>2</v>
      </c>
      <c r="G43" s="48">
        <v>2</v>
      </c>
      <c r="H43" s="48">
        <v>2</v>
      </c>
      <c r="I43" s="48">
        <v>2</v>
      </c>
      <c r="J43" s="48">
        <v>2</v>
      </c>
      <c r="K43" s="48">
        <v>2</v>
      </c>
      <c r="L43" s="48">
        <v>2</v>
      </c>
      <c r="M43" s="20">
        <v>0</v>
      </c>
      <c r="N43" s="42">
        <v>0</v>
      </c>
      <c r="O43" s="42">
        <v>0</v>
      </c>
      <c r="P43" s="42">
        <v>0</v>
      </c>
      <c r="Q43" s="42">
        <v>0</v>
      </c>
      <c r="R43" s="42">
        <v>0</v>
      </c>
      <c r="S43" s="42">
        <v>0</v>
      </c>
      <c r="T43" s="42">
        <v>0</v>
      </c>
      <c r="U43" s="42">
        <v>0</v>
      </c>
      <c r="V43" s="42">
        <v>0</v>
      </c>
    </row>
    <row r="44" spans="1:22" ht="19.95" customHeight="1" x14ac:dyDescent="0.3">
      <c r="A44" s="93"/>
      <c r="B44" s="97"/>
      <c r="C44" s="35" t="s">
        <v>44</v>
      </c>
      <c r="D44" s="34" t="s">
        <v>17</v>
      </c>
      <c r="E44" s="51">
        <v>6</v>
      </c>
      <c r="F44" s="51">
        <v>10</v>
      </c>
      <c r="G44" s="48">
        <v>10</v>
      </c>
      <c r="H44" s="48">
        <v>10</v>
      </c>
      <c r="I44" s="48">
        <v>10</v>
      </c>
      <c r="J44" s="48">
        <v>10</v>
      </c>
      <c r="K44" s="48">
        <v>10</v>
      </c>
      <c r="L44" s="48">
        <v>10</v>
      </c>
      <c r="M44" s="26">
        <v>0</v>
      </c>
      <c r="N44" s="42">
        <v>0</v>
      </c>
      <c r="O44" s="42">
        <v>0</v>
      </c>
      <c r="P44" s="42">
        <v>0</v>
      </c>
      <c r="Q44" s="42">
        <v>0</v>
      </c>
      <c r="R44" s="42">
        <v>0</v>
      </c>
      <c r="S44" s="42">
        <v>0</v>
      </c>
      <c r="T44" s="42">
        <v>0</v>
      </c>
      <c r="U44" s="42">
        <v>0</v>
      </c>
      <c r="V44" s="42">
        <v>0</v>
      </c>
    </row>
    <row r="45" spans="1:22" ht="19.95" customHeight="1" x14ac:dyDescent="0.3">
      <c r="A45" s="93"/>
      <c r="B45" s="60"/>
      <c r="C45" s="35"/>
      <c r="D45" s="34"/>
      <c r="E45" s="51"/>
      <c r="F45" s="51"/>
      <c r="G45" s="48"/>
      <c r="H45" s="48"/>
      <c r="I45" s="48"/>
      <c r="J45" s="48"/>
      <c r="K45" s="48"/>
      <c r="L45" s="48"/>
      <c r="M45" s="26">
        <v>4</v>
      </c>
      <c r="N45" s="42">
        <v>0</v>
      </c>
      <c r="O45" s="42">
        <v>0</v>
      </c>
      <c r="P45" s="42">
        <v>0</v>
      </c>
      <c r="Q45" s="42">
        <v>0</v>
      </c>
      <c r="R45" s="42">
        <v>0</v>
      </c>
      <c r="S45" s="42">
        <v>0</v>
      </c>
      <c r="T45" s="42">
        <v>0</v>
      </c>
      <c r="U45" s="42">
        <v>0</v>
      </c>
      <c r="V45" s="42">
        <v>0</v>
      </c>
    </row>
    <row r="46" spans="1:22" ht="19.95" customHeight="1" x14ac:dyDescent="0.3">
      <c r="A46" s="93"/>
      <c r="B46" s="99" t="s">
        <v>11</v>
      </c>
      <c r="C46" s="47" t="s">
        <v>100</v>
      </c>
      <c r="D46" s="50" t="s">
        <v>43</v>
      </c>
      <c r="E46" s="14">
        <v>3</v>
      </c>
      <c r="F46" s="14">
        <v>3</v>
      </c>
      <c r="G46" s="14">
        <v>3</v>
      </c>
      <c r="H46" s="14">
        <v>3</v>
      </c>
      <c r="I46" s="14">
        <v>3</v>
      </c>
      <c r="J46" s="14">
        <v>3</v>
      </c>
      <c r="K46" s="14">
        <v>3</v>
      </c>
      <c r="L46" s="14">
        <v>3</v>
      </c>
      <c r="M46" s="14">
        <v>3</v>
      </c>
      <c r="N46" s="20">
        <v>0</v>
      </c>
      <c r="O46" s="42">
        <v>0</v>
      </c>
      <c r="P46" s="42">
        <v>0</v>
      </c>
      <c r="Q46" s="42">
        <v>0</v>
      </c>
      <c r="R46" s="42">
        <v>0</v>
      </c>
      <c r="S46" s="42">
        <v>0</v>
      </c>
      <c r="T46" s="42">
        <v>0</v>
      </c>
      <c r="U46" s="42">
        <v>0</v>
      </c>
      <c r="V46" s="42">
        <v>0</v>
      </c>
    </row>
    <row r="47" spans="1:22" ht="19.95" customHeight="1" x14ac:dyDescent="0.3">
      <c r="A47" s="93"/>
      <c r="B47" s="99"/>
      <c r="C47" s="47" t="s">
        <v>101</v>
      </c>
      <c r="D47" s="50" t="s">
        <v>40</v>
      </c>
      <c r="E47" s="14">
        <v>2</v>
      </c>
      <c r="F47" s="14">
        <v>2</v>
      </c>
      <c r="G47" s="14">
        <v>2</v>
      </c>
      <c r="H47" s="14">
        <v>2</v>
      </c>
      <c r="I47" s="14">
        <v>2</v>
      </c>
      <c r="J47" s="14">
        <v>2</v>
      </c>
      <c r="K47" s="14">
        <v>2</v>
      </c>
      <c r="L47" s="14">
        <v>2</v>
      </c>
      <c r="M47" s="14">
        <v>2</v>
      </c>
      <c r="N47" s="20">
        <v>0</v>
      </c>
      <c r="O47" s="42">
        <v>0</v>
      </c>
      <c r="P47" s="42">
        <v>0</v>
      </c>
      <c r="Q47" s="42">
        <v>0</v>
      </c>
      <c r="R47" s="42">
        <v>0</v>
      </c>
      <c r="S47" s="42">
        <v>0</v>
      </c>
      <c r="T47" s="42">
        <v>0</v>
      </c>
      <c r="U47" s="42">
        <v>0</v>
      </c>
      <c r="V47" s="42">
        <v>0</v>
      </c>
    </row>
    <row r="48" spans="1:22" ht="19.95" customHeight="1" x14ac:dyDescent="0.3">
      <c r="A48" s="93"/>
      <c r="B48" s="99"/>
      <c r="C48" s="47" t="s">
        <v>102</v>
      </c>
      <c r="D48" s="50" t="s">
        <v>43</v>
      </c>
      <c r="E48" s="14">
        <v>1</v>
      </c>
      <c r="F48" s="14">
        <v>1</v>
      </c>
      <c r="G48" s="14">
        <v>1</v>
      </c>
      <c r="H48" s="14">
        <v>1</v>
      </c>
      <c r="I48" s="14">
        <v>1</v>
      </c>
      <c r="J48" s="14">
        <v>1</v>
      </c>
      <c r="K48" s="14">
        <v>1</v>
      </c>
      <c r="L48" s="14">
        <v>1</v>
      </c>
      <c r="M48" s="14">
        <v>1</v>
      </c>
      <c r="N48" s="20">
        <v>0</v>
      </c>
      <c r="O48" s="42">
        <v>0</v>
      </c>
      <c r="P48" s="42">
        <v>0</v>
      </c>
      <c r="Q48" s="42">
        <v>0</v>
      </c>
      <c r="R48" s="42">
        <v>0</v>
      </c>
      <c r="S48" s="42">
        <v>0</v>
      </c>
      <c r="T48" s="42">
        <v>0</v>
      </c>
      <c r="U48" s="42">
        <v>0</v>
      </c>
      <c r="V48" s="42">
        <v>0</v>
      </c>
    </row>
    <row r="49" spans="1:22" ht="19.95" customHeight="1" x14ac:dyDescent="0.3">
      <c r="A49" s="93"/>
      <c r="B49" s="99"/>
      <c r="C49" s="47" t="s">
        <v>103</v>
      </c>
      <c r="D49" s="50" t="s">
        <v>40</v>
      </c>
      <c r="E49" s="14">
        <v>2</v>
      </c>
      <c r="F49" s="14">
        <v>2</v>
      </c>
      <c r="G49" s="14">
        <v>2</v>
      </c>
      <c r="H49" s="14">
        <v>2</v>
      </c>
      <c r="I49" s="14">
        <v>2</v>
      </c>
      <c r="J49" s="14">
        <v>2</v>
      </c>
      <c r="K49" s="14">
        <v>2</v>
      </c>
      <c r="L49" s="14">
        <v>2</v>
      </c>
      <c r="M49" s="14">
        <v>2</v>
      </c>
      <c r="N49" s="20">
        <v>0</v>
      </c>
      <c r="O49" s="42">
        <v>0</v>
      </c>
      <c r="P49" s="42">
        <v>0</v>
      </c>
      <c r="Q49" s="42">
        <v>0</v>
      </c>
      <c r="R49" s="42">
        <v>0</v>
      </c>
      <c r="S49" s="42">
        <v>0</v>
      </c>
      <c r="T49" s="42">
        <v>0</v>
      </c>
      <c r="U49" s="42">
        <v>0</v>
      </c>
      <c r="V49" s="42">
        <v>0</v>
      </c>
    </row>
    <row r="50" spans="1:22" ht="19.95" customHeight="1" x14ac:dyDescent="0.3">
      <c r="A50" s="93"/>
      <c r="B50" s="99"/>
      <c r="C50" s="47" t="s">
        <v>143</v>
      </c>
      <c r="D50" s="50" t="s">
        <v>43</v>
      </c>
      <c r="E50" s="14">
        <v>2</v>
      </c>
      <c r="F50" s="14">
        <v>3</v>
      </c>
      <c r="G50" s="14">
        <v>3</v>
      </c>
      <c r="H50" s="14">
        <v>3</v>
      </c>
      <c r="I50" s="14">
        <v>3</v>
      </c>
      <c r="J50" s="14">
        <v>3</v>
      </c>
      <c r="K50" s="14">
        <v>3</v>
      </c>
      <c r="L50" s="14">
        <v>3</v>
      </c>
      <c r="M50" s="14">
        <v>3</v>
      </c>
      <c r="N50" s="14">
        <v>3</v>
      </c>
      <c r="O50" s="26">
        <v>0</v>
      </c>
      <c r="P50" s="42">
        <v>0</v>
      </c>
      <c r="Q50" s="42">
        <v>0</v>
      </c>
      <c r="R50" s="42">
        <v>0</v>
      </c>
      <c r="S50" s="42">
        <v>0</v>
      </c>
      <c r="T50" s="42">
        <v>0</v>
      </c>
      <c r="U50" s="42">
        <v>0</v>
      </c>
      <c r="V50" s="42">
        <v>0</v>
      </c>
    </row>
    <row r="51" spans="1:22" ht="19.95" customHeight="1" x14ac:dyDescent="0.3">
      <c r="A51" s="93"/>
      <c r="B51" s="99"/>
      <c r="C51" s="47"/>
      <c r="D51" s="50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26">
        <v>1</v>
      </c>
      <c r="P51" s="42"/>
      <c r="Q51" s="42"/>
      <c r="R51" s="42"/>
      <c r="S51" s="42"/>
      <c r="T51" s="42"/>
      <c r="U51" s="42"/>
      <c r="V51" s="42"/>
    </row>
    <row r="52" spans="1:22" ht="19.95" customHeight="1" x14ac:dyDescent="0.3">
      <c r="A52" s="93"/>
      <c r="B52" s="99"/>
      <c r="C52" s="47" t="s">
        <v>149</v>
      </c>
      <c r="D52" s="50" t="s">
        <v>40</v>
      </c>
      <c r="E52" s="14">
        <v>2</v>
      </c>
      <c r="F52" s="14">
        <v>2</v>
      </c>
      <c r="G52" s="14">
        <v>2</v>
      </c>
      <c r="H52" s="14">
        <v>2</v>
      </c>
      <c r="I52" s="14">
        <v>2</v>
      </c>
      <c r="J52" s="14">
        <v>2</v>
      </c>
      <c r="K52" s="14">
        <v>2</v>
      </c>
      <c r="L52" s="14">
        <v>2</v>
      </c>
      <c r="M52" s="14">
        <v>2</v>
      </c>
      <c r="N52" s="14">
        <v>2</v>
      </c>
      <c r="O52" s="20">
        <v>0</v>
      </c>
      <c r="P52" s="42">
        <v>0</v>
      </c>
      <c r="Q52" s="42">
        <v>0</v>
      </c>
      <c r="R52" s="42">
        <v>0</v>
      </c>
      <c r="S52" s="42">
        <v>0</v>
      </c>
      <c r="T52" s="42">
        <v>0</v>
      </c>
      <c r="U52" s="42">
        <v>0</v>
      </c>
      <c r="V52" s="42">
        <v>0</v>
      </c>
    </row>
    <row r="53" spans="1:22" ht="19.95" customHeight="1" x14ac:dyDescent="0.3">
      <c r="A53" s="93"/>
      <c r="B53" s="99"/>
      <c r="C53" s="47" t="s">
        <v>104</v>
      </c>
      <c r="D53" s="50" t="s">
        <v>43</v>
      </c>
      <c r="E53" s="14">
        <v>2</v>
      </c>
      <c r="F53" s="14">
        <v>3</v>
      </c>
      <c r="G53" s="14">
        <v>3</v>
      </c>
      <c r="H53" s="14">
        <v>3</v>
      </c>
      <c r="I53" s="14">
        <v>3</v>
      </c>
      <c r="J53" s="14">
        <v>3</v>
      </c>
      <c r="K53" s="14">
        <v>3</v>
      </c>
      <c r="L53" s="14">
        <v>3</v>
      </c>
      <c r="M53" s="14">
        <v>3</v>
      </c>
      <c r="N53" s="14">
        <v>3</v>
      </c>
      <c r="O53" s="26">
        <v>0</v>
      </c>
      <c r="P53" s="42">
        <v>0</v>
      </c>
      <c r="Q53" s="42">
        <v>0</v>
      </c>
      <c r="R53" s="42">
        <v>0</v>
      </c>
      <c r="S53" s="42">
        <v>0</v>
      </c>
      <c r="T53" s="42">
        <v>0</v>
      </c>
      <c r="U53" s="42">
        <v>0</v>
      </c>
      <c r="V53" s="42">
        <v>0</v>
      </c>
    </row>
    <row r="54" spans="1:22" ht="19.95" customHeight="1" x14ac:dyDescent="0.3">
      <c r="A54" s="93"/>
      <c r="B54" s="99"/>
      <c r="C54" s="47"/>
      <c r="D54" s="50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26">
        <v>1</v>
      </c>
      <c r="P54" s="42"/>
      <c r="Q54" s="42"/>
      <c r="R54" s="42"/>
      <c r="S54" s="42"/>
      <c r="T54" s="42"/>
      <c r="U54" s="42"/>
      <c r="V54" s="42"/>
    </row>
    <row r="55" spans="1:22" ht="19.95" customHeight="1" x14ac:dyDescent="0.3">
      <c r="A55" s="93"/>
      <c r="B55" s="99"/>
      <c r="C55" s="47" t="s">
        <v>105</v>
      </c>
      <c r="D55" s="50" t="s">
        <v>40</v>
      </c>
      <c r="E55" s="14">
        <v>2</v>
      </c>
      <c r="F55" s="14">
        <v>3</v>
      </c>
      <c r="G55" s="14">
        <v>3</v>
      </c>
      <c r="H55" s="14">
        <v>3</v>
      </c>
      <c r="I55" s="14">
        <v>3</v>
      </c>
      <c r="J55" s="14">
        <v>3</v>
      </c>
      <c r="K55" s="14">
        <v>3</v>
      </c>
      <c r="L55" s="14">
        <v>3</v>
      </c>
      <c r="M55" s="14">
        <v>3</v>
      </c>
      <c r="N55" s="14">
        <v>3</v>
      </c>
      <c r="O55" s="14">
        <v>3</v>
      </c>
      <c r="P55" s="26">
        <v>0</v>
      </c>
      <c r="Q55" s="42">
        <v>0</v>
      </c>
      <c r="R55" s="42">
        <v>0</v>
      </c>
      <c r="S55" s="42">
        <v>0</v>
      </c>
      <c r="T55" s="42">
        <v>0</v>
      </c>
      <c r="U55" s="42">
        <v>0</v>
      </c>
      <c r="V55" s="42">
        <v>0</v>
      </c>
    </row>
    <row r="56" spans="1:22" ht="19.95" customHeight="1" x14ac:dyDescent="0.3">
      <c r="A56" s="93"/>
      <c r="B56" s="99"/>
      <c r="C56" s="47"/>
      <c r="D56" s="50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26">
        <v>1</v>
      </c>
      <c r="Q56" s="42"/>
      <c r="R56" s="42"/>
      <c r="S56" s="42"/>
      <c r="T56" s="42"/>
      <c r="U56" s="42"/>
      <c r="V56" s="42"/>
    </row>
    <row r="57" spans="1:22" ht="19.95" customHeight="1" x14ac:dyDescent="0.3">
      <c r="A57" s="93"/>
      <c r="B57" s="99"/>
      <c r="C57" s="47" t="s">
        <v>106</v>
      </c>
      <c r="D57" s="50" t="s">
        <v>43</v>
      </c>
      <c r="E57" s="14">
        <v>2</v>
      </c>
      <c r="F57" s="14">
        <v>3</v>
      </c>
      <c r="G57" s="14">
        <v>3</v>
      </c>
      <c r="H57" s="14">
        <v>3</v>
      </c>
      <c r="I57" s="14">
        <v>3</v>
      </c>
      <c r="J57" s="14">
        <v>3</v>
      </c>
      <c r="K57" s="14">
        <v>3</v>
      </c>
      <c r="L57" s="14">
        <v>3</v>
      </c>
      <c r="M57" s="14">
        <v>3</v>
      </c>
      <c r="N57" s="14">
        <v>3</v>
      </c>
      <c r="O57" s="14">
        <v>3</v>
      </c>
      <c r="P57" s="26">
        <v>0</v>
      </c>
      <c r="Q57" s="42">
        <v>0</v>
      </c>
      <c r="R57" s="42">
        <v>0</v>
      </c>
      <c r="S57" s="42">
        <v>0</v>
      </c>
      <c r="T57" s="42">
        <v>0</v>
      </c>
      <c r="U57" s="42">
        <v>0</v>
      </c>
      <c r="V57" s="42">
        <v>0</v>
      </c>
    </row>
    <row r="58" spans="1:22" ht="19.95" customHeight="1" x14ac:dyDescent="0.3">
      <c r="A58" s="93"/>
      <c r="B58" s="99"/>
      <c r="C58" s="47"/>
      <c r="D58" s="50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26">
        <v>1</v>
      </c>
      <c r="Q58" s="42"/>
      <c r="R58" s="42"/>
      <c r="S58" s="42"/>
      <c r="T58" s="42"/>
      <c r="U58" s="42"/>
      <c r="V58" s="42"/>
    </row>
    <row r="59" spans="1:22" ht="19.95" customHeight="1" x14ac:dyDescent="0.3">
      <c r="A59" s="93"/>
      <c r="B59" s="99"/>
      <c r="C59" s="47" t="s">
        <v>107</v>
      </c>
      <c r="D59" s="50" t="s">
        <v>40</v>
      </c>
      <c r="E59" s="14">
        <v>2</v>
      </c>
      <c r="F59" s="14">
        <v>2</v>
      </c>
      <c r="G59" s="14">
        <v>2</v>
      </c>
      <c r="H59" s="14">
        <v>2</v>
      </c>
      <c r="I59" s="14">
        <v>2</v>
      </c>
      <c r="J59" s="14">
        <v>2</v>
      </c>
      <c r="K59" s="14">
        <v>2</v>
      </c>
      <c r="L59" s="14">
        <v>2</v>
      </c>
      <c r="M59" s="14">
        <v>2</v>
      </c>
      <c r="N59" s="14">
        <v>2</v>
      </c>
      <c r="O59" s="14">
        <v>2</v>
      </c>
      <c r="P59" s="20">
        <v>0</v>
      </c>
      <c r="Q59" s="42">
        <v>0</v>
      </c>
      <c r="R59" s="42">
        <v>0</v>
      </c>
      <c r="S59" s="42">
        <v>0</v>
      </c>
      <c r="T59" s="42">
        <v>0</v>
      </c>
      <c r="U59" s="42">
        <v>0</v>
      </c>
      <c r="V59" s="42">
        <v>0</v>
      </c>
    </row>
    <row r="60" spans="1:22" ht="19.95" customHeight="1" x14ac:dyDescent="0.3">
      <c r="A60" s="93"/>
      <c r="B60" s="99"/>
      <c r="C60" s="47" t="s">
        <v>108</v>
      </c>
      <c r="D60" s="50" t="s">
        <v>43</v>
      </c>
      <c r="E60" s="14">
        <v>2</v>
      </c>
      <c r="F60" s="14">
        <v>2</v>
      </c>
      <c r="G60" s="14">
        <v>2</v>
      </c>
      <c r="H60" s="14">
        <v>2</v>
      </c>
      <c r="I60" s="14">
        <v>2</v>
      </c>
      <c r="J60" s="14">
        <v>2</v>
      </c>
      <c r="K60" s="14">
        <v>2</v>
      </c>
      <c r="L60" s="14">
        <v>2</v>
      </c>
      <c r="M60" s="14">
        <v>2</v>
      </c>
      <c r="N60" s="20">
        <v>0</v>
      </c>
      <c r="O60" s="42">
        <v>0</v>
      </c>
      <c r="P60" s="42">
        <v>0</v>
      </c>
      <c r="Q60" s="42">
        <v>0</v>
      </c>
      <c r="R60" s="42">
        <v>0</v>
      </c>
      <c r="S60" s="42">
        <v>0</v>
      </c>
      <c r="T60" s="42">
        <v>0</v>
      </c>
      <c r="U60" s="42">
        <v>0</v>
      </c>
      <c r="V60" s="42">
        <v>0</v>
      </c>
    </row>
    <row r="61" spans="1:22" ht="19.95" customHeight="1" x14ac:dyDescent="0.3">
      <c r="A61" s="93"/>
      <c r="B61" s="99"/>
      <c r="C61" s="47" t="s">
        <v>109</v>
      </c>
      <c r="D61" s="50" t="s">
        <v>40</v>
      </c>
      <c r="E61" s="14">
        <v>3</v>
      </c>
      <c r="F61" s="14">
        <v>3</v>
      </c>
      <c r="G61" s="14">
        <v>3</v>
      </c>
      <c r="H61" s="14">
        <v>3</v>
      </c>
      <c r="I61" s="14">
        <v>3</v>
      </c>
      <c r="J61" s="14">
        <v>3</v>
      </c>
      <c r="K61" s="14">
        <v>3</v>
      </c>
      <c r="L61" s="14">
        <v>3</v>
      </c>
      <c r="M61" s="14">
        <v>3</v>
      </c>
      <c r="N61" s="20">
        <v>0</v>
      </c>
      <c r="O61" s="42">
        <v>0</v>
      </c>
      <c r="P61" s="42">
        <v>0</v>
      </c>
      <c r="Q61" s="42">
        <v>0</v>
      </c>
      <c r="R61" s="42">
        <v>0</v>
      </c>
      <c r="S61" s="42">
        <v>0</v>
      </c>
      <c r="T61" s="42">
        <v>0</v>
      </c>
      <c r="U61" s="42">
        <v>0</v>
      </c>
      <c r="V61" s="42">
        <v>0</v>
      </c>
    </row>
    <row r="62" spans="1:22" ht="19.95" customHeight="1" x14ac:dyDescent="0.3">
      <c r="A62" s="93"/>
      <c r="B62" s="99"/>
      <c r="C62" s="47" t="s">
        <v>110</v>
      </c>
      <c r="D62" s="50" t="s">
        <v>43</v>
      </c>
      <c r="E62" s="14">
        <v>1</v>
      </c>
      <c r="F62" s="14">
        <v>1</v>
      </c>
      <c r="G62" s="14">
        <v>1</v>
      </c>
      <c r="H62" s="14">
        <v>1</v>
      </c>
      <c r="I62" s="14">
        <v>1</v>
      </c>
      <c r="J62" s="14">
        <v>1</v>
      </c>
      <c r="K62" s="14">
        <v>1</v>
      </c>
      <c r="L62" s="14">
        <v>1</v>
      </c>
      <c r="M62" s="14">
        <v>1</v>
      </c>
      <c r="N62" s="14">
        <v>1</v>
      </c>
      <c r="O62" s="20">
        <v>0</v>
      </c>
      <c r="P62" s="42">
        <v>0</v>
      </c>
      <c r="Q62" s="42">
        <v>0</v>
      </c>
      <c r="R62" s="42">
        <v>0</v>
      </c>
      <c r="S62" s="42">
        <v>0</v>
      </c>
      <c r="T62" s="42">
        <v>0</v>
      </c>
      <c r="U62" s="42">
        <v>0</v>
      </c>
      <c r="V62" s="42">
        <v>0</v>
      </c>
    </row>
    <row r="63" spans="1:22" ht="19.95" customHeight="1" x14ac:dyDescent="0.3">
      <c r="A63" s="93"/>
      <c r="B63" s="99"/>
      <c r="C63" s="47" t="s">
        <v>111</v>
      </c>
      <c r="D63" s="50" t="s">
        <v>40</v>
      </c>
      <c r="E63" s="14">
        <v>2</v>
      </c>
      <c r="F63" s="14">
        <v>2</v>
      </c>
      <c r="G63" s="14">
        <v>2</v>
      </c>
      <c r="H63" s="14">
        <v>2</v>
      </c>
      <c r="I63" s="14">
        <v>2</v>
      </c>
      <c r="J63" s="14">
        <v>2</v>
      </c>
      <c r="K63" s="14">
        <v>2</v>
      </c>
      <c r="L63" s="14">
        <v>2</v>
      </c>
      <c r="M63" s="14">
        <v>2</v>
      </c>
      <c r="N63" s="14">
        <v>2</v>
      </c>
      <c r="O63" s="20">
        <v>0</v>
      </c>
      <c r="P63" s="42">
        <v>0</v>
      </c>
      <c r="Q63" s="42">
        <v>0</v>
      </c>
      <c r="R63" s="42">
        <v>0</v>
      </c>
      <c r="S63" s="42">
        <v>0</v>
      </c>
      <c r="T63" s="42">
        <v>0</v>
      </c>
      <c r="U63" s="42">
        <v>0</v>
      </c>
      <c r="V63" s="42">
        <v>0</v>
      </c>
    </row>
    <row r="64" spans="1:22" ht="19.95" customHeight="1" x14ac:dyDescent="0.3">
      <c r="A64" s="93"/>
      <c r="B64" s="99"/>
      <c r="C64" s="47" t="s">
        <v>144</v>
      </c>
      <c r="D64" s="50" t="s">
        <v>43</v>
      </c>
      <c r="E64" s="14">
        <v>3</v>
      </c>
      <c r="F64" s="14">
        <v>3</v>
      </c>
      <c r="G64" s="14">
        <v>3</v>
      </c>
      <c r="H64" s="14">
        <v>3</v>
      </c>
      <c r="I64" s="14">
        <v>3</v>
      </c>
      <c r="J64" s="14">
        <v>3</v>
      </c>
      <c r="K64" s="14">
        <v>3</v>
      </c>
      <c r="L64" s="14">
        <v>3</v>
      </c>
      <c r="M64" s="14">
        <v>3</v>
      </c>
      <c r="N64" s="14">
        <v>3</v>
      </c>
      <c r="O64" s="20">
        <v>0</v>
      </c>
      <c r="P64" s="42">
        <v>0</v>
      </c>
      <c r="Q64" s="42">
        <v>0</v>
      </c>
      <c r="R64" s="42">
        <v>0</v>
      </c>
      <c r="S64" s="42">
        <v>0</v>
      </c>
      <c r="T64" s="42">
        <v>0</v>
      </c>
      <c r="U64" s="42">
        <v>0</v>
      </c>
      <c r="V64" s="42">
        <v>0</v>
      </c>
    </row>
    <row r="65" spans="1:22" ht="19.95" customHeight="1" x14ac:dyDescent="0.3">
      <c r="A65" s="93"/>
      <c r="B65" s="99"/>
      <c r="C65" s="47" t="s">
        <v>150</v>
      </c>
      <c r="D65" s="50" t="s">
        <v>40</v>
      </c>
      <c r="E65" s="14">
        <v>3</v>
      </c>
      <c r="F65" s="14">
        <v>2</v>
      </c>
      <c r="G65" s="14">
        <v>2</v>
      </c>
      <c r="H65" s="14">
        <v>2</v>
      </c>
      <c r="I65" s="14">
        <v>2</v>
      </c>
      <c r="J65" s="14">
        <v>2</v>
      </c>
      <c r="K65" s="14">
        <v>2</v>
      </c>
      <c r="L65" s="14">
        <v>2</v>
      </c>
      <c r="M65" s="14">
        <v>2</v>
      </c>
      <c r="N65" s="14">
        <v>2</v>
      </c>
      <c r="O65" s="14">
        <v>2</v>
      </c>
      <c r="P65" s="23">
        <v>0</v>
      </c>
      <c r="Q65" s="42">
        <v>0</v>
      </c>
      <c r="R65" s="42">
        <v>0</v>
      </c>
      <c r="S65" s="42">
        <v>0</v>
      </c>
      <c r="T65" s="42">
        <v>0</v>
      </c>
      <c r="U65" s="42">
        <v>0</v>
      </c>
      <c r="V65" s="42">
        <v>0</v>
      </c>
    </row>
    <row r="66" spans="1:22" ht="19.95" customHeight="1" x14ac:dyDescent="0.3">
      <c r="A66" s="93"/>
      <c r="B66" s="99"/>
      <c r="C66" s="47"/>
      <c r="D66" s="50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23">
        <v>1</v>
      </c>
      <c r="Q66" s="42"/>
      <c r="R66" s="42"/>
      <c r="S66" s="42"/>
      <c r="T66" s="42"/>
      <c r="U66" s="42"/>
      <c r="V66" s="42"/>
    </row>
    <row r="67" spans="1:22" ht="19.95" customHeight="1" x14ac:dyDescent="0.3">
      <c r="A67" s="93"/>
      <c r="B67" s="99"/>
      <c r="C67" s="47" t="s">
        <v>112</v>
      </c>
      <c r="D67" s="50" t="s">
        <v>43</v>
      </c>
      <c r="E67" s="14">
        <v>4</v>
      </c>
      <c r="F67" s="14">
        <v>3</v>
      </c>
      <c r="G67" s="14">
        <v>3</v>
      </c>
      <c r="H67" s="14">
        <v>3</v>
      </c>
      <c r="I67" s="14">
        <v>3</v>
      </c>
      <c r="J67" s="14">
        <v>3</v>
      </c>
      <c r="K67" s="14">
        <v>3</v>
      </c>
      <c r="L67" s="14">
        <v>3</v>
      </c>
      <c r="M67" s="14">
        <v>3</v>
      </c>
      <c r="N67" s="14">
        <v>3</v>
      </c>
      <c r="O67" s="14">
        <v>3</v>
      </c>
      <c r="P67" s="23">
        <v>0</v>
      </c>
      <c r="Q67" s="42">
        <v>0</v>
      </c>
      <c r="R67" s="42">
        <v>0</v>
      </c>
      <c r="S67" s="42">
        <v>0</v>
      </c>
      <c r="T67" s="42">
        <v>0</v>
      </c>
      <c r="U67" s="42">
        <v>0</v>
      </c>
      <c r="V67" s="42">
        <v>0</v>
      </c>
    </row>
    <row r="68" spans="1:22" ht="19.95" customHeight="1" x14ac:dyDescent="0.3">
      <c r="A68" s="93"/>
      <c r="B68" s="99"/>
      <c r="C68" s="47"/>
      <c r="D68" s="5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23">
        <v>1</v>
      </c>
      <c r="Q68" s="42"/>
      <c r="R68" s="42"/>
      <c r="S68" s="42"/>
      <c r="T68" s="42"/>
      <c r="U68" s="42"/>
      <c r="V68" s="42"/>
    </row>
    <row r="69" spans="1:22" ht="19.95" customHeight="1" x14ac:dyDescent="0.3">
      <c r="A69" s="93"/>
      <c r="B69" s="99"/>
      <c r="C69" s="47" t="s">
        <v>113</v>
      </c>
      <c r="D69" s="50" t="s">
        <v>40</v>
      </c>
      <c r="E69" s="14">
        <v>3</v>
      </c>
      <c r="F69" s="14">
        <v>3</v>
      </c>
      <c r="G69" s="14">
        <v>3</v>
      </c>
      <c r="H69" s="14">
        <v>3</v>
      </c>
      <c r="I69" s="14">
        <v>3</v>
      </c>
      <c r="J69" s="14">
        <v>3</v>
      </c>
      <c r="K69" s="14">
        <v>3</v>
      </c>
      <c r="L69" s="14">
        <v>3</v>
      </c>
      <c r="M69" s="14">
        <v>3</v>
      </c>
      <c r="N69" s="14">
        <v>3</v>
      </c>
      <c r="O69" s="14">
        <v>3</v>
      </c>
      <c r="P69" s="20">
        <v>0</v>
      </c>
      <c r="Q69" s="42">
        <v>0</v>
      </c>
      <c r="R69" s="42">
        <v>0</v>
      </c>
      <c r="S69" s="42">
        <v>0</v>
      </c>
      <c r="T69" s="42">
        <v>0</v>
      </c>
      <c r="U69" s="42">
        <v>0</v>
      </c>
      <c r="V69" s="42">
        <v>0</v>
      </c>
    </row>
    <row r="70" spans="1:22" ht="19.95" customHeight="1" x14ac:dyDescent="0.3">
      <c r="A70" s="93"/>
      <c r="B70" s="99"/>
      <c r="C70" s="47" t="s">
        <v>114</v>
      </c>
      <c r="D70" s="50" t="s">
        <v>43</v>
      </c>
      <c r="E70" s="14">
        <v>3</v>
      </c>
      <c r="F70" s="14">
        <v>3</v>
      </c>
      <c r="G70" s="14">
        <v>3</v>
      </c>
      <c r="H70" s="14">
        <v>3</v>
      </c>
      <c r="I70" s="14">
        <v>3</v>
      </c>
      <c r="J70" s="14">
        <v>3</v>
      </c>
      <c r="K70" s="14">
        <v>3</v>
      </c>
      <c r="L70" s="14">
        <v>3</v>
      </c>
      <c r="M70" s="14">
        <v>3</v>
      </c>
      <c r="N70" s="14">
        <v>3</v>
      </c>
      <c r="O70" s="14">
        <v>3</v>
      </c>
      <c r="P70" s="14">
        <v>3</v>
      </c>
      <c r="Q70" s="20">
        <v>0</v>
      </c>
      <c r="R70" s="42">
        <v>0</v>
      </c>
      <c r="S70" s="42">
        <v>0</v>
      </c>
      <c r="T70" s="42">
        <v>0</v>
      </c>
      <c r="U70" s="42">
        <v>0</v>
      </c>
      <c r="V70" s="42">
        <v>0</v>
      </c>
    </row>
    <row r="71" spans="1:22" ht="19.95" customHeight="1" x14ac:dyDescent="0.3">
      <c r="A71" s="93"/>
      <c r="B71" s="99"/>
      <c r="C71" s="47" t="s">
        <v>115</v>
      </c>
      <c r="D71" s="50" t="s">
        <v>40</v>
      </c>
      <c r="E71" s="14">
        <v>2</v>
      </c>
      <c r="F71" s="14">
        <v>2</v>
      </c>
      <c r="G71" s="14">
        <v>2</v>
      </c>
      <c r="H71" s="14">
        <v>2</v>
      </c>
      <c r="I71" s="14">
        <v>2</v>
      </c>
      <c r="J71" s="14">
        <v>2</v>
      </c>
      <c r="K71" s="14">
        <v>2</v>
      </c>
      <c r="L71" s="14">
        <v>2</v>
      </c>
      <c r="M71" s="14">
        <v>2</v>
      </c>
      <c r="N71" s="14">
        <v>2</v>
      </c>
      <c r="O71" s="14">
        <v>2</v>
      </c>
      <c r="P71" s="14">
        <v>2</v>
      </c>
      <c r="Q71" s="20">
        <v>0</v>
      </c>
      <c r="R71" s="42">
        <v>0</v>
      </c>
      <c r="S71" s="42">
        <v>0</v>
      </c>
      <c r="T71" s="42">
        <v>0</v>
      </c>
      <c r="U71" s="42">
        <v>0</v>
      </c>
      <c r="V71" s="42">
        <v>0</v>
      </c>
    </row>
    <row r="72" spans="1:22" ht="19.95" customHeight="1" x14ac:dyDescent="0.3">
      <c r="A72" s="93"/>
      <c r="B72" s="99"/>
      <c r="C72" s="35" t="s">
        <v>45</v>
      </c>
      <c r="D72" s="50" t="s">
        <v>17</v>
      </c>
      <c r="E72" s="50">
        <v>4</v>
      </c>
      <c r="F72" s="50">
        <v>4</v>
      </c>
      <c r="G72" s="50">
        <v>4</v>
      </c>
      <c r="H72" s="50">
        <v>4</v>
      </c>
      <c r="I72" s="50">
        <v>4</v>
      </c>
      <c r="J72" s="50">
        <v>4</v>
      </c>
      <c r="K72" s="50">
        <v>4</v>
      </c>
      <c r="L72" s="50">
        <v>4</v>
      </c>
      <c r="M72" s="50">
        <v>4</v>
      </c>
      <c r="N72" s="50">
        <v>4</v>
      </c>
      <c r="O72" s="50">
        <v>4</v>
      </c>
      <c r="P72" s="50">
        <v>4</v>
      </c>
      <c r="Q72" s="50">
        <v>4</v>
      </c>
      <c r="R72" s="20">
        <v>0</v>
      </c>
      <c r="S72" s="42">
        <v>0</v>
      </c>
      <c r="T72" s="42">
        <v>0</v>
      </c>
      <c r="U72" s="42">
        <v>0</v>
      </c>
      <c r="V72" s="42">
        <v>0</v>
      </c>
    </row>
    <row r="73" spans="1:22" ht="19.95" customHeight="1" x14ac:dyDescent="0.3">
      <c r="A73" s="93"/>
      <c r="B73" s="99" t="s">
        <v>12</v>
      </c>
      <c r="C73" s="47" t="s">
        <v>116</v>
      </c>
      <c r="D73" s="50" t="s">
        <v>78</v>
      </c>
      <c r="E73" s="14">
        <v>1</v>
      </c>
      <c r="F73" s="14">
        <v>1</v>
      </c>
      <c r="G73" s="14">
        <v>1</v>
      </c>
      <c r="H73" s="14">
        <v>1</v>
      </c>
      <c r="I73" s="14">
        <v>1</v>
      </c>
      <c r="J73" s="14">
        <v>1</v>
      </c>
      <c r="K73" s="14">
        <v>1</v>
      </c>
      <c r="L73" s="14">
        <v>1</v>
      </c>
      <c r="M73" s="14">
        <v>1</v>
      </c>
      <c r="N73" s="14">
        <v>1</v>
      </c>
      <c r="O73" s="14">
        <v>1</v>
      </c>
      <c r="P73" s="14">
        <v>1</v>
      </c>
      <c r="Q73" s="14">
        <v>1</v>
      </c>
      <c r="R73" s="14">
        <v>1</v>
      </c>
      <c r="S73" s="20">
        <v>0</v>
      </c>
      <c r="T73" s="42">
        <v>0</v>
      </c>
      <c r="U73" s="42">
        <v>0</v>
      </c>
      <c r="V73" s="42">
        <v>0</v>
      </c>
    </row>
    <row r="74" spans="1:22" ht="19.95" customHeight="1" x14ac:dyDescent="0.3">
      <c r="A74" s="93"/>
      <c r="B74" s="99"/>
      <c r="C74" s="47" t="s">
        <v>117</v>
      </c>
      <c r="D74" s="50" t="s">
        <v>79</v>
      </c>
      <c r="E74" s="14">
        <v>1</v>
      </c>
      <c r="F74" s="14">
        <v>1</v>
      </c>
      <c r="G74" s="14">
        <v>1</v>
      </c>
      <c r="H74" s="14">
        <v>1</v>
      </c>
      <c r="I74" s="14">
        <v>1</v>
      </c>
      <c r="J74" s="14">
        <v>1</v>
      </c>
      <c r="K74" s="14">
        <v>1</v>
      </c>
      <c r="L74" s="14">
        <v>1</v>
      </c>
      <c r="M74" s="14">
        <v>1</v>
      </c>
      <c r="N74" s="14">
        <v>1</v>
      </c>
      <c r="O74" s="14">
        <v>1</v>
      </c>
      <c r="P74" s="14">
        <v>1</v>
      </c>
      <c r="Q74" s="14">
        <v>1</v>
      </c>
      <c r="R74" s="14">
        <v>1</v>
      </c>
      <c r="S74" s="20">
        <v>0</v>
      </c>
      <c r="T74" s="42">
        <v>0</v>
      </c>
      <c r="U74" s="42">
        <v>0</v>
      </c>
      <c r="V74" s="42">
        <v>0</v>
      </c>
    </row>
    <row r="75" spans="1:22" ht="19.95" customHeight="1" x14ac:dyDescent="0.3">
      <c r="A75" s="93"/>
      <c r="B75" s="99"/>
      <c r="C75" s="47" t="s">
        <v>118</v>
      </c>
      <c r="D75" s="50" t="s">
        <v>78</v>
      </c>
      <c r="E75" s="14">
        <v>0.5</v>
      </c>
      <c r="F75" s="14">
        <v>0.5</v>
      </c>
      <c r="G75" s="14">
        <v>0.5</v>
      </c>
      <c r="H75" s="14">
        <v>0.5</v>
      </c>
      <c r="I75" s="14">
        <v>0.5</v>
      </c>
      <c r="J75" s="14">
        <v>0.5</v>
      </c>
      <c r="K75" s="14">
        <v>0.5</v>
      </c>
      <c r="L75" s="14">
        <v>0.5</v>
      </c>
      <c r="M75" s="14">
        <v>0.5</v>
      </c>
      <c r="N75" s="14">
        <v>0.5</v>
      </c>
      <c r="O75" s="14">
        <v>0.5</v>
      </c>
      <c r="P75" s="14">
        <v>0.5</v>
      </c>
      <c r="Q75" s="14">
        <v>0.5</v>
      </c>
      <c r="R75" s="14">
        <v>0.5</v>
      </c>
      <c r="S75" s="20">
        <v>0</v>
      </c>
      <c r="T75" s="42">
        <v>0</v>
      </c>
      <c r="U75" s="42">
        <v>0</v>
      </c>
      <c r="V75" s="42">
        <v>0</v>
      </c>
    </row>
    <row r="76" spans="1:22" ht="19.95" customHeight="1" x14ac:dyDescent="0.3">
      <c r="A76" s="93"/>
      <c r="B76" s="99"/>
      <c r="C76" s="47" t="s">
        <v>119</v>
      </c>
      <c r="D76" s="50" t="s">
        <v>78</v>
      </c>
      <c r="E76" s="14">
        <v>0.5</v>
      </c>
      <c r="F76" s="14">
        <v>0.5</v>
      </c>
      <c r="G76" s="14">
        <v>0.5</v>
      </c>
      <c r="H76" s="14">
        <v>0.5</v>
      </c>
      <c r="I76" s="14">
        <v>0.5</v>
      </c>
      <c r="J76" s="14">
        <v>0.5</v>
      </c>
      <c r="K76" s="14">
        <v>0.5</v>
      </c>
      <c r="L76" s="14">
        <v>0.5</v>
      </c>
      <c r="M76" s="14">
        <v>0.5</v>
      </c>
      <c r="N76" s="14">
        <v>0.5</v>
      </c>
      <c r="O76" s="14">
        <v>0.5</v>
      </c>
      <c r="P76" s="14">
        <v>0.5</v>
      </c>
      <c r="Q76" s="14">
        <v>0.5</v>
      </c>
      <c r="R76" s="14">
        <v>0.5</v>
      </c>
      <c r="S76" s="20">
        <v>0</v>
      </c>
      <c r="T76" s="42">
        <v>0</v>
      </c>
      <c r="U76" s="42">
        <v>0</v>
      </c>
      <c r="V76" s="42">
        <v>0</v>
      </c>
    </row>
    <row r="77" spans="1:22" ht="19.95" customHeight="1" x14ac:dyDescent="0.3">
      <c r="A77" s="93"/>
      <c r="B77" s="99"/>
      <c r="C77" s="47" t="s">
        <v>145</v>
      </c>
      <c r="D77" s="50" t="s">
        <v>79</v>
      </c>
      <c r="E77" s="14">
        <v>1</v>
      </c>
      <c r="F77" s="14">
        <v>1</v>
      </c>
      <c r="G77" s="14">
        <v>1</v>
      </c>
      <c r="H77" s="14">
        <v>1</v>
      </c>
      <c r="I77" s="14">
        <v>1</v>
      </c>
      <c r="J77" s="14">
        <v>1</v>
      </c>
      <c r="K77" s="14">
        <v>1</v>
      </c>
      <c r="L77" s="14">
        <v>1</v>
      </c>
      <c r="M77" s="14">
        <v>1</v>
      </c>
      <c r="N77" s="14">
        <v>1</v>
      </c>
      <c r="O77" s="14">
        <v>1</v>
      </c>
      <c r="P77" s="14">
        <v>1</v>
      </c>
      <c r="Q77" s="14">
        <v>1</v>
      </c>
      <c r="R77" s="14">
        <v>1</v>
      </c>
      <c r="S77" s="20">
        <v>0</v>
      </c>
      <c r="T77" s="42">
        <v>0</v>
      </c>
      <c r="U77" s="42">
        <v>0</v>
      </c>
      <c r="V77" s="42">
        <v>0</v>
      </c>
    </row>
    <row r="78" spans="1:22" ht="19.95" customHeight="1" x14ac:dyDescent="0.3">
      <c r="A78" s="93"/>
      <c r="B78" s="99"/>
      <c r="C78" s="47" t="s">
        <v>151</v>
      </c>
      <c r="D78" s="50" t="s">
        <v>79</v>
      </c>
      <c r="E78" s="14">
        <v>1</v>
      </c>
      <c r="F78" s="14">
        <v>1</v>
      </c>
      <c r="G78" s="14">
        <v>1</v>
      </c>
      <c r="H78" s="14">
        <v>1</v>
      </c>
      <c r="I78" s="14">
        <v>1</v>
      </c>
      <c r="J78" s="14">
        <v>1</v>
      </c>
      <c r="K78" s="14">
        <v>1</v>
      </c>
      <c r="L78" s="14">
        <v>1</v>
      </c>
      <c r="M78" s="14">
        <v>1</v>
      </c>
      <c r="N78" s="14">
        <v>1</v>
      </c>
      <c r="O78" s="14">
        <v>1</v>
      </c>
      <c r="P78" s="14">
        <v>1</v>
      </c>
      <c r="Q78" s="14">
        <v>1</v>
      </c>
      <c r="R78" s="14">
        <v>1</v>
      </c>
      <c r="S78" s="20">
        <v>0</v>
      </c>
      <c r="T78" s="42">
        <v>0</v>
      </c>
      <c r="U78" s="42">
        <v>0</v>
      </c>
      <c r="V78" s="42">
        <v>0</v>
      </c>
    </row>
    <row r="79" spans="1:22" ht="19.95" customHeight="1" x14ac:dyDescent="0.3">
      <c r="A79" s="93"/>
      <c r="B79" s="99"/>
      <c r="C79" s="47" t="s">
        <v>120</v>
      </c>
      <c r="D79" s="50" t="s">
        <v>22</v>
      </c>
      <c r="E79" s="14">
        <v>2</v>
      </c>
      <c r="F79" s="14">
        <v>2</v>
      </c>
      <c r="G79" s="14">
        <v>2</v>
      </c>
      <c r="H79" s="14">
        <v>2</v>
      </c>
      <c r="I79" s="14">
        <v>2</v>
      </c>
      <c r="J79" s="14">
        <v>2</v>
      </c>
      <c r="K79" s="14">
        <v>2</v>
      </c>
      <c r="L79" s="14">
        <v>2</v>
      </c>
      <c r="M79" s="14">
        <v>2</v>
      </c>
      <c r="N79" s="14">
        <v>2</v>
      </c>
      <c r="O79" s="14">
        <v>2</v>
      </c>
      <c r="P79" s="14">
        <v>2</v>
      </c>
      <c r="Q79" s="14">
        <v>2</v>
      </c>
      <c r="R79" s="14">
        <v>2</v>
      </c>
      <c r="S79" s="20">
        <v>0</v>
      </c>
      <c r="T79" s="42">
        <v>0</v>
      </c>
      <c r="U79" s="42">
        <v>0</v>
      </c>
      <c r="V79" s="42">
        <v>0</v>
      </c>
    </row>
    <row r="80" spans="1:22" ht="19.95" customHeight="1" x14ac:dyDescent="0.3">
      <c r="A80" s="93"/>
      <c r="B80" s="99"/>
      <c r="C80" s="47" t="s">
        <v>121</v>
      </c>
      <c r="D80" s="50" t="s">
        <v>79</v>
      </c>
      <c r="E80" s="14">
        <v>1</v>
      </c>
      <c r="F80" s="14">
        <v>1</v>
      </c>
      <c r="G80" s="14">
        <v>1</v>
      </c>
      <c r="H80" s="14">
        <v>1</v>
      </c>
      <c r="I80" s="14">
        <v>1</v>
      </c>
      <c r="J80" s="14">
        <v>1</v>
      </c>
      <c r="K80" s="14">
        <v>1</v>
      </c>
      <c r="L80" s="14">
        <v>1</v>
      </c>
      <c r="M80" s="14">
        <v>1</v>
      </c>
      <c r="N80" s="14">
        <v>1</v>
      </c>
      <c r="O80" s="14">
        <v>1</v>
      </c>
      <c r="P80" s="14">
        <v>1</v>
      </c>
      <c r="Q80" s="14">
        <v>1</v>
      </c>
      <c r="R80" s="14">
        <v>1</v>
      </c>
      <c r="S80" s="20">
        <v>0</v>
      </c>
      <c r="T80" s="42">
        <v>0</v>
      </c>
      <c r="U80" s="42">
        <v>0</v>
      </c>
      <c r="V80" s="42">
        <v>0</v>
      </c>
    </row>
    <row r="81" spans="1:22" ht="19.95" customHeight="1" x14ac:dyDescent="0.3">
      <c r="A81" s="93"/>
      <c r="B81" s="99"/>
      <c r="C81" s="47" t="s">
        <v>122</v>
      </c>
      <c r="D81" s="50" t="s">
        <v>78</v>
      </c>
      <c r="E81" s="14">
        <v>1</v>
      </c>
      <c r="F81" s="14">
        <v>1</v>
      </c>
      <c r="G81" s="14">
        <v>1</v>
      </c>
      <c r="H81" s="14">
        <v>1</v>
      </c>
      <c r="I81" s="14">
        <v>1</v>
      </c>
      <c r="J81" s="14">
        <v>1</v>
      </c>
      <c r="K81" s="14">
        <v>1</v>
      </c>
      <c r="L81" s="14">
        <v>1</v>
      </c>
      <c r="M81" s="14">
        <v>1</v>
      </c>
      <c r="N81" s="14">
        <v>1</v>
      </c>
      <c r="O81" s="14">
        <v>1</v>
      </c>
      <c r="P81" s="14">
        <v>1</v>
      </c>
      <c r="Q81" s="14">
        <v>1</v>
      </c>
      <c r="R81" s="14">
        <v>1</v>
      </c>
      <c r="S81" s="20">
        <v>0</v>
      </c>
      <c r="T81" s="42">
        <v>0</v>
      </c>
      <c r="U81" s="42">
        <v>0</v>
      </c>
      <c r="V81" s="42">
        <v>0</v>
      </c>
    </row>
    <row r="82" spans="1:22" ht="19.95" customHeight="1" x14ac:dyDescent="0.3">
      <c r="A82" s="93"/>
      <c r="B82" s="99"/>
      <c r="C82" s="47" t="s">
        <v>123</v>
      </c>
      <c r="D82" s="50" t="s">
        <v>22</v>
      </c>
      <c r="E82" s="14">
        <v>1</v>
      </c>
      <c r="F82" s="14">
        <v>1</v>
      </c>
      <c r="G82" s="14">
        <v>1</v>
      </c>
      <c r="H82" s="14">
        <v>1</v>
      </c>
      <c r="I82" s="14">
        <v>1</v>
      </c>
      <c r="J82" s="14">
        <v>1</v>
      </c>
      <c r="K82" s="14">
        <v>1</v>
      </c>
      <c r="L82" s="14">
        <v>1</v>
      </c>
      <c r="M82" s="14">
        <v>1</v>
      </c>
      <c r="N82" s="14">
        <v>1</v>
      </c>
      <c r="O82" s="14">
        <v>1</v>
      </c>
      <c r="P82" s="14">
        <v>1</v>
      </c>
      <c r="Q82" s="14">
        <v>1</v>
      </c>
      <c r="R82" s="14">
        <v>1</v>
      </c>
      <c r="S82" s="20">
        <v>0</v>
      </c>
      <c r="T82" s="42">
        <v>0</v>
      </c>
      <c r="U82" s="42">
        <v>0</v>
      </c>
      <c r="V82" s="42">
        <v>0</v>
      </c>
    </row>
    <row r="83" spans="1:22" ht="19.95" customHeight="1" x14ac:dyDescent="0.3">
      <c r="A83" s="93"/>
      <c r="B83" s="99" t="s">
        <v>46</v>
      </c>
      <c r="C83" s="47" t="s">
        <v>124</v>
      </c>
      <c r="D83" s="50" t="s">
        <v>80</v>
      </c>
      <c r="E83" s="14">
        <v>1</v>
      </c>
      <c r="F83" s="14">
        <v>1</v>
      </c>
      <c r="G83" s="14">
        <v>1</v>
      </c>
      <c r="H83" s="14">
        <v>1</v>
      </c>
      <c r="I83" s="14">
        <v>1</v>
      </c>
      <c r="J83" s="14">
        <v>1</v>
      </c>
      <c r="K83" s="14">
        <v>1</v>
      </c>
      <c r="L83" s="14">
        <v>1</v>
      </c>
      <c r="M83" s="14">
        <v>1</v>
      </c>
      <c r="N83" s="14">
        <v>1</v>
      </c>
      <c r="O83" s="14">
        <v>1</v>
      </c>
      <c r="P83" s="14">
        <v>1</v>
      </c>
      <c r="Q83" s="14">
        <v>1</v>
      </c>
      <c r="R83" s="14">
        <v>1</v>
      </c>
      <c r="S83" s="14">
        <v>1</v>
      </c>
      <c r="T83" s="20">
        <v>0</v>
      </c>
      <c r="U83" s="42">
        <v>0</v>
      </c>
      <c r="V83" s="42">
        <v>0</v>
      </c>
    </row>
    <row r="84" spans="1:22" ht="19.95" customHeight="1" x14ac:dyDescent="0.3">
      <c r="A84" s="93"/>
      <c r="B84" s="99"/>
      <c r="C84" s="47" t="s">
        <v>125</v>
      </c>
      <c r="D84" s="34" t="s">
        <v>80</v>
      </c>
      <c r="E84" s="14">
        <v>1</v>
      </c>
      <c r="F84" s="14">
        <v>1</v>
      </c>
      <c r="G84" s="14">
        <v>1</v>
      </c>
      <c r="H84" s="14">
        <v>1</v>
      </c>
      <c r="I84" s="14">
        <v>1</v>
      </c>
      <c r="J84" s="14">
        <v>1</v>
      </c>
      <c r="K84" s="14">
        <v>1</v>
      </c>
      <c r="L84" s="14">
        <v>1</v>
      </c>
      <c r="M84" s="14">
        <v>1</v>
      </c>
      <c r="N84" s="14">
        <v>1</v>
      </c>
      <c r="O84" s="14">
        <v>1</v>
      </c>
      <c r="P84" s="14">
        <v>1</v>
      </c>
      <c r="Q84" s="14">
        <v>1</v>
      </c>
      <c r="R84" s="14">
        <v>1</v>
      </c>
      <c r="S84" s="14">
        <v>1</v>
      </c>
      <c r="T84" s="20">
        <v>0</v>
      </c>
      <c r="U84" s="42">
        <v>0</v>
      </c>
      <c r="V84" s="42">
        <v>0</v>
      </c>
    </row>
    <row r="85" spans="1:22" ht="19.95" customHeight="1" x14ac:dyDescent="0.3">
      <c r="A85" s="93"/>
      <c r="B85" s="99"/>
      <c r="C85" s="47" t="s">
        <v>126</v>
      </c>
      <c r="D85" s="34" t="s">
        <v>80</v>
      </c>
      <c r="E85" s="14">
        <v>0.5</v>
      </c>
      <c r="F85" s="14">
        <v>0.5</v>
      </c>
      <c r="G85" s="14">
        <v>0.5</v>
      </c>
      <c r="H85" s="14">
        <v>0.5</v>
      </c>
      <c r="I85" s="14">
        <v>0.5</v>
      </c>
      <c r="J85" s="14">
        <v>0.5</v>
      </c>
      <c r="K85" s="14">
        <v>0.5</v>
      </c>
      <c r="L85" s="14">
        <v>0.5</v>
      </c>
      <c r="M85" s="14">
        <v>0.5</v>
      </c>
      <c r="N85" s="14">
        <v>0.5</v>
      </c>
      <c r="O85" s="14">
        <v>0.5</v>
      </c>
      <c r="P85" s="14">
        <v>0.5</v>
      </c>
      <c r="Q85" s="14">
        <v>0.5</v>
      </c>
      <c r="R85" s="14">
        <v>0.5</v>
      </c>
      <c r="S85" s="14">
        <v>0.5</v>
      </c>
      <c r="T85" s="20">
        <v>0</v>
      </c>
      <c r="U85" s="42">
        <v>0</v>
      </c>
      <c r="V85" s="42">
        <v>0</v>
      </c>
    </row>
    <row r="86" spans="1:22" ht="19.95" customHeight="1" x14ac:dyDescent="0.3">
      <c r="A86" s="93"/>
      <c r="B86" s="99"/>
      <c r="C86" s="47" t="s">
        <v>127</v>
      </c>
      <c r="D86" s="34" t="s">
        <v>80</v>
      </c>
      <c r="E86" s="14">
        <v>0.5</v>
      </c>
      <c r="F86" s="14">
        <v>0.5</v>
      </c>
      <c r="G86" s="14">
        <v>0.5</v>
      </c>
      <c r="H86" s="14">
        <v>0.5</v>
      </c>
      <c r="I86" s="14">
        <v>0.5</v>
      </c>
      <c r="J86" s="14">
        <v>0.5</v>
      </c>
      <c r="K86" s="14">
        <v>0.5</v>
      </c>
      <c r="L86" s="14">
        <v>0.5</v>
      </c>
      <c r="M86" s="14">
        <v>0.5</v>
      </c>
      <c r="N86" s="14">
        <v>0.5</v>
      </c>
      <c r="O86" s="14">
        <v>0.5</v>
      </c>
      <c r="P86" s="14">
        <v>0.5</v>
      </c>
      <c r="Q86" s="14">
        <v>0.5</v>
      </c>
      <c r="R86" s="14">
        <v>0.5</v>
      </c>
      <c r="S86" s="14">
        <v>0.5</v>
      </c>
      <c r="T86" s="20">
        <v>0</v>
      </c>
      <c r="U86" s="42">
        <v>0</v>
      </c>
      <c r="V86" s="42">
        <v>0</v>
      </c>
    </row>
    <row r="87" spans="1:22" ht="19.95" customHeight="1" x14ac:dyDescent="0.3">
      <c r="A87" s="93"/>
      <c r="B87" s="99"/>
      <c r="C87" s="47" t="s">
        <v>146</v>
      </c>
      <c r="D87" s="34" t="s">
        <v>80</v>
      </c>
      <c r="E87" s="14">
        <v>1</v>
      </c>
      <c r="F87" s="14">
        <v>1</v>
      </c>
      <c r="G87" s="14">
        <v>1</v>
      </c>
      <c r="H87" s="14">
        <v>1</v>
      </c>
      <c r="I87" s="14">
        <v>1</v>
      </c>
      <c r="J87" s="14">
        <v>1</v>
      </c>
      <c r="K87" s="14">
        <v>1</v>
      </c>
      <c r="L87" s="14">
        <v>1</v>
      </c>
      <c r="M87" s="14">
        <v>1</v>
      </c>
      <c r="N87" s="14">
        <v>1</v>
      </c>
      <c r="O87" s="14">
        <v>1</v>
      </c>
      <c r="P87" s="14">
        <v>1</v>
      </c>
      <c r="Q87" s="14">
        <v>1</v>
      </c>
      <c r="R87" s="14">
        <v>1</v>
      </c>
      <c r="S87" s="14">
        <v>1</v>
      </c>
      <c r="T87" s="20">
        <v>0</v>
      </c>
      <c r="U87" s="42">
        <v>0</v>
      </c>
      <c r="V87" s="42">
        <v>0</v>
      </c>
    </row>
    <row r="88" spans="1:22" ht="19.95" customHeight="1" x14ac:dyDescent="0.3">
      <c r="A88" s="93"/>
      <c r="B88" s="99"/>
      <c r="C88" s="47" t="s">
        <v>152</v>
      </c>
      <c r="D88" s="34" t="s">
        <v>80</v>
      </c>
      <c r="E88" s="14">
        <v>1</v>
      </c>
      <c r="F88" s="14">
        <v>1</v>
      </c>
      <c r="G88" s="14">
        <v>1</v>
      </c>
      <c r="H88" s="14">
        <v>1</v>
      </c>
      <c r="I88" s="14">
        <v>1</v>
      </c>
      <c r="J88" s="14">
        <v>1</v>
      </c>
      <c r="K88" s="14">
        <v>1</v>
      </c>
      <c r="L88" s="14">
        <v>1</v>
      </c>
      <c r="M88" s="14">
        <v>1</v>
      </c>
      <c r="N88" s="14">
        <v>1</v>
      </c>
      <c r="O88" s="14">
        <v>1</v>
      </c>
      <c r="P88" s="14">
        <v>1</v>
      </c>
      <c r="Q88" s="14">
        <v>1</v>
      </c>
      <c r="R88" s="14">
        <v>1</v>
      </c>
      <c r="S88" s="14">
        <v>1</v>
      </c>
      <c r="T88" s="20">
        <v>0</v>
      </c>
      <c r="U88" s="42">
        <v>0</v>
      </c>
      <c r="V88" s="42">
        <v>0</v>
      </c>
    </row>
    <row r="89" spans="1:22" ht="19.95" customHeight="1" x14ac:dyDescent="0.3">
      <c r="A89" s="93"/>
      <c r="B89" s="99"/>
      <c r="C89" s="47" t="s">
        <v>128</v>
      </c>
      <c r="D89" s="34" t="s">
        <v>80</v>
      </c>
      <c r="E89" s="14">
        <v>2</v>
      </c>
      <c r="F89" s="14">
        <v>2</v>
      </c>
      <c r="G89" s="14">
        <v>2</v>
      </c>
      <c r="H89" s="14">
        <v>2</v>
      </c>
      <c r="I89" s="14">
        <v>2</v>
      </c>
      <c r="J89" s="14">
        <v>2</v>
      </c>
      <c r="K89" s="14">
        <v>2</v>
      </c>
      <c r="L89" s="14">
        <v>2</v>
      </c>
      <c r="M89" s="14">
        <v>2</v>
      </c>
      <c r="N89" s="14">
        <v>2</v>
      </c>
      <c r="O89" s="14">
        <v>2</v>
      </c>
      <c r="P89" s="14">
        <v>2</v>
      </c>
      <c r="Q89" s="14">
        <v>2</v>
      </c>
      <c r="R89" s="14">
        <v>2</v>
      </c>
      <c r="S89" s="14">
        <v>2</v>
      </c>
      <c r="T89" s="20">
        <v>0</v>
      </c>
      <c r="U89" s="42">
        <v>0</v>
      </c>
      <c r="V89" s="42">
        <v>0</v>
      </c>
    </row>
    <row r="90" spans="1:22" ht="19.95" customHeight="1" x14ac:dyDescent="0.3">
      <c r="A90" s="93"/>
      <c r="B90" s="99"/>
      <c r="C90" s="47" t="s">
        <v>129</v>
      </c>
      <c r="D90" s="34" t="s">
        <v>80</v>
      </c>
      <c r="E90" s="14">
        <v>1</v>
      </c>
      <c r="F90" s="14">
        <v>1</v>
      </c>
      <c r="G90" s="14">
        <v>1</v>
      </c>
      <c r="H90" s="14">
        <v>1</v>
      </c>
      <c r="I90" s="14">
        <v>1</v>
      </c>
      <c r="J90" s="14">
        <v>1</v>
      </c>
      <c r="K90" s="14">
        <v>1</v>
      </c>
      <c r="L90" s="14">
        <v>1</v>
      </c>
      <c r="M90" s="14">
        <v>1</v>
      </c>
      <c r="N90" s="14">
        <v>1</v>
      </c>
      <c r="O90" s="14">
        <v>1</v>
      </c>
      <c r="P90" s="14">
        <v>1</v>
      </c>
      <c r="Q90" s="14">
        <v>1</v>
      </c>
      <c r="R90" s="14">
        <v>1</v>
      </c>
      <c r="S90" s="14">
        <v>1</v>
      </c>
      <c r="T90" s="20">
        <v>0</v>
      </c>
      <c r="U90" s="42">
        <v>0</v>
      </c>
      <c r="V90" s="42">
        <v>0</v>
      </c>
    </row>
    <row r="91" spans="1:22" ht="19.95" customHeight="1" x14ac:dyDescent="0.3">
      <c r="A91" s="93"/>
      <c r="B91" s="99"/>
      <c r="C91" s="47" t="s">
        <v>130</v>
      </c>
      <c r="D91" s="34" t="s">
        <v>80</v>
      </c>
      <c r="E91" s="14">
        <v>1</v>
      </c>
      <c r="F91" s="14">
        <v>1</v>
      </c>
      <c r="G91" s="14">
        <v>1</v>
      </c>
      <c r="H91" s="14">
        <v>1</v>
      </c>
      <c r="I91" s="14">
        <v>1</v>
      </c>
      <c r="J91" s="14">
        <v>1</v>
      </c>
      <c r="K91" s="14">
        <v>1</v>
      </c>
      <c r="L91" s="14">
        <v>1</v>
      </c>
      <c r="M91" s="14">
        <v>1</v>
      </c>
      <c r="N91" s="14">
        <v>1</v>
      </c>
      <c r="O91" s="14">
        <v>1</v>
      </c>
      <c r="P91" s="14">
        <v>1</v>
      </c>
      <c r="Q91" s="14">
        <v>1</v>
      </c>
      <c r="R91" s="14">
        <v>1</v>
      </c>
      <c r="S91" s="14">
        <v>1</v>
      </c>
      <c r="T91" s="20">
        <v>0</v>
      </c>
      <c r="U91" s="42">
        <v>0</v>
      </c>
      <c r="V91" s="42">
        <v>0</v>
      </c>
    </row>
    <row r="92" spans="1:22" ht="19.95" customHeight="1" x14ac:dyDescent="0.3">
      <c r="A92" s="93"/>
      <c r="B92" s="99"/>
      <c r="C92" s="47" t="s">
        <v>131</v>
      </c>
      <c r="D92" s="34" t="s">
        <v>80</v>
      </c>
      <c r="E92" s="14">
        <v>1</v>
      </c>
      <c r="F92" s="14">
        <v>1</v>
      </c>
      <c r="G92" s="14">
        <v>1</v>
      </c>
      <c r="H92" s="14">
        <v>1</v>
      </c>
      <c r="I92" s="14">
        <v>1</v>
      </c>
      <c r="J92" s="14">
        <v>1</v>
      </c>
      <c r="K92" s="14">
        <v>1</v>
      </c>
      <c r="L92" s="14">
        <v>1</v>
      </c>
      <c r="M92" s="14">
        <v>1</v>
      </c>
      <c r="N92" s="14">
        <v>1</v>
      </c>
      <c r="O92" s="14">
        <v>1</v>
      </c>
      <c r="P92" s="14">
        <v>1</v>
      </c>
      <c r="Q92" s="14">
        <v>1</v>
      </c>
      <c r="R92" s="14">
        <v>1</v>
      </c>
      <c r="S92" s="14">
        <v>1</v>
      </c>
      <c r="T92" s="20">
        <v>0</v>
      </c>
      <c r="U92" s="42">
        <v>0</v>
      </c>
      <c r="V92" s="42">
        <v>0</v>
      </c>
    </row>
    <row r="93" spans="1:22" ht="19.95" customHeight="1" x14ac:dyDescent="0.3">
      <c r="A93" s="93"/>
      <c r="B93" s="99" t="s">
        <v>16</v>
      </c>
      <c r="C93" s="47" t="s">
        <v>132</v>
      </c>
      <c r="D93" s="34" t="s">
        <v>78</v>
      </c>
      <c r="E93" s="50">
        <v>1</v>
      </c>
      <c r="F93" s="50">
        <v>1</v>
      </c>
      <c r="G93" s="50">
        <v>1</v>
      </c>
      <c r="H93" s="50">
        <v>1</v>
      </c>
      <c r="I93" s="50">
        <v>1</v>
      </c>
      <c r="J93" s="50">
        <v>1</v>
      </c>
      <c r="K93" s="50">
        <v>1</v>
      </c>
      <c r="L93" s="50">
        <v>1</v>
      </c>
      <c r="M93" s="50">
        <v>1</v>
      </c>
      <c r="N93" s="50">
        <v>1</v>
      </c>
      <c r="O93" s="50">
        <v>1</v>
      </c>
      <c r="P93" s="50">
        <v>1</v>
      </c>
      <c r="Q93" s="50">
        <v>1</v>
      </c>
      <c r="R93" s="50">
        <v>1</v>
      </c>
      <c r="S93" s="50">
        <v>1</v>
      </c>
      <c r="T93" s="50">
        <v>1</v>
      </c>
      <c r="U93" s="20">
        <v>0</v>
      </c>
      <c r="V93" s="42">
        <v>0</v>
      </c>
    </row>
    <row r="94" spans="1:22" ht="19.95" customHeight="1" x14ac:dyDescent="0.3">
      <c r="A94" s="93"/>
      <c r="B94" s="99"/>
      <c r="C94" s="47" t="s">
        <v>133</v>
      </c>
      <c r="D94" s="34" t="s">
        <v>79</v>
      </c>
      <c r="E94" s="50">
        <v>1</v>
      </c>
      <c r="F94" s="50">
        <v>1</v>
      </c>
      <c r="G94" s="50">
        <v>1</v>
      </c>
      <c r="H94" s="50">
        <v>1</v>
      </c>
      <c r="I94" s="50">
        <v>1</v>
      </c>
      <c r="J94" s="50">
        <v>1</v>
      </c>
      <c r="K94" s="50">
        <v>1</v>
      </c>
      <c r="L94" s="50">
        <v>1</v>
      </c>
      <c r="M94" s="50">
        <v>1</v>
      </c>
      <c r="N94" s="50">
        <v>1</v>
      </c>
      <c r="O94" s="50">
        <v>1</v>
      </c>
      <c r="P94" s="50">
        <v>1</v>
      </c>
      <c r="Q94" s="50">
        <v>1</v>
      </c>
      <c r="R94" s="50">
        <v>1</v>
      </c>
      <c r="S94" s="50">
        <v>1</v>
      </c>
      <c r="T94" s="50">
        <v>1</v>
      </c>
      <c r="U94" s="20">
        <v>0</v>
      </c>
      <c r="V94" s="42">
        <v>0</v>
      </c>
    </row>
    <row r="95" spans="1:22" ht="19.95" customHeight="1" x14ac:dyDescent="0.3">
      <c r="A95" s="93"/>
      <c r="B95" s="99"/>
      <c r="C95" s="47" t="s">
        <v>134</v>
      </c>
      <c r="D95" s="34" t="s">
        <v>78</v>
      </c>
      <c r="E95" s="50">
        <v>2</v>
      </c>
      <c r="F95" s="50">
        <v>2</v>
      </c>
      <c r="G95" s="50">
        <v>2</v>
      </c>
      <c r="H95" s="50">
        <v>2</v>
      </c>
      <c r="I95" s="50">
        <v>2</v>
      </c>
      <c r="J95" s="50">
        <v>2</v>
      </c>
      <c r="K95" s="50">
        <v>2</v>
      </c>
      <c r="L95" s="50">
        <v>2</v>
      </c>
      <c r="M95" s="50">
        <v>2</v>
      </c>
      <c r="N95" s="50">
        <v>2</v>
      </c>
      <c r="O95" s="50">
        <v>2</v>
      </c>
      <c r="P95" s="50">
        <v>2</v>
      </c>
      <c r="Q95" s="50">
        <v>2</v>
      </c>
      <c r="R95" s="50">
        <v>2</v>
      </c>
      <c r="S95" s="50">
        <v>2</v>
      </c>
      <c r="T95" s="50">
        <v>2</v>
      </c>
      <c r="U95" s="20">
        <v>0</v>
      </c>
      <c r="V95" s="42">
        <v>0</v>
      </c>
    </row>
    <row r="96" spans="1:22" ht="19.95" customHeight="1" x14ac:dyDescent="0.3">
      <c r="A96" s="93"/>
      <c r="B96" s="99"/>
      <c r="C96" s="47" t="s">
        <v>135</v>
      </c>
      <c r="D96" s="34" t="s">
        <v>78</v>
      </c>
      <c r="E96" s="50">
        <v>2</v>
      </c>
      <c r="F96" s="50">
        <v>2</v>
      </c>
      <c r="G96" s="50">
        <v>2</v>
      </c>
      <c r="H96" s="50">
        <v>2</v>
      </c>
      <c r="I96" s="50">
        <v>2</v>
      </c>
      <c r="J96" s="50">
        <v>2</v>
      </c>
      <c r="K96" s="50">
        <v>2</v>
      </c>
      <c r="L96" s="50">
        <v>2</v>
      </c>
      <c r="M96" s="50">
        <v>2</v>
      </c>
      <c r="N96" s="50">
        <v>2</v>
      </c>
      <c r="O96" s="50">
        <v>2</v>
      </c>
      <c r="P96" s="50">
        <v>2</v>
      </c>
      <c r="Q96" s="50">
        <v>2</v>
      </c>
      <c r="R96" s="50">
        <v>2</v>
      </c>
      <c r="S96" s="50">
        <v>2</v>
      </c>
      <c r="T96" s="50">
        <v>2</v>
      </c>
      <c r="U96" s="20">
        <v>0</v>
      </c>
      <c r="V96" s="42">
        <v>0</v>
      </c>
    </row>
    <row r="97" spans="1:22" ht="19.95" customHeight="1" x14ac:dyDescent="0.3">
      <c r="A97" s="93"/>
      <c r="B97" s="99"/>
      <c r="C97" s="47" t="s">
        <v>147</v>
      </c>
      <c r="D97" s="34" t="s">
        <v>79</v>
      </c>
      <c r="E97" s="50">
        <v>2</v>
      </c>
      <c r="F97" s="50">
        <v>2</v>
      </c>
      <c r="G97" s="50">
        <v>2</v>
      </c>
      <c r="H97" s="50">
        <v>2</v>
      </c>
      <c r="I97" s="50">
        <v>2</v>
      </c>
      <c r="J97" s="50">
        <v>2</v>
      </c>
      <c r="K97" s="50">
        <v>2</v>
      </c>
      <c r="L97" s="50">
        <v>2</v>
      </c>
      <c r="M97" s="50">
        <v>2</v>
      </c>
      <c r="N97" s="50">
        <v>2</v>
      </c>
      <c r="O97" s="50">
        <v>2</v>
      </c>
      <c r="P97" s="50">
        <v>2</v>
      </c>
      <c r="Q97" s="50">
        <v>2</v>
      </c>
      <c r="R97" s="50">
        <v>2</v>
      </c>
      <c r="S97" s="50">
        <v>2</v>
      </c>
      <c r="T97" s="50">
        <v>2</v>
      </c>
      <c r="U97" s="20">
        <v>0</v>
      </c>
      <c r="V97" s="42">
        <v>0</v>
      </c>
    </row>
    <row r="98" spans="1:22" ht="19.95" customHeight="1" x14ac:dyDescent="0.3">
      <c r="A98" s="93"/>
      <c r="B98" s="99"/>
      <c r="C98" s="47" t="s">
        <v>153</v>
      </c>
      <c r="D98" s="34" t="s">
        <v>79</v>
      </c>
      <c r="E98" s="50">
        <v>2</v>
      </c>
      <c r="F98" s="50">
        <v>2</v>
      </c>
      <c r="G98" s="50">
        <v>2</v>
      </c>
      <c r="H98" s="50">
        <v>2</v>
      </c>
      <c r="I98" s="50">
        <v>2</v>
      </c>
      <c r="J98" s="50">
        <v>2</v>
      </c>
      <c r="K98" s="50">
        <v>2</v>
      </c>
      <c r="L98" s="50">
        <v>2</v>
      </c>
      <c r="M98" s="50">
        <v>2</v>
      </c>
      <c r="N98" s="50">
        <v>2</v>
      </c>
      <c r="O98" s="50">
        <v>2</v>
      </c>
      <c r="P98" s="50">
        <v>2</v>
      </c>
      <c r="Q98" s="50">
        <v>2</v>
      </c>
      <c r="R98" s="50">
        <v>2</v>
      </c>
      <c r="S98" s="50">
        <v>2</v>
      </c>
      <c r="T98" s="50">
        <v>2</v>
      </c>
      <c r="U98" s="20">
        <v>0</v>
      </c>
      <c r="V98" s="42">
        <v>0</v>
      </c>
    </row>
    <row r="99" spans="1:22" ht="19.95" customHeight="1" x14ac:dyDescent="0.3">
      <c r="A99" s="93"/>
      <c r="B99" s="99"/>
      <c r="C99" s="47" t="s">
        <v>136</v>
      </c>
      <c r="D99" s="34" t="s">
        <v>22</v>
      </c>
      <c r="E99" s="50">
        <v>2</v>
      </c>
      <c r="F99" s="50">
        <v>2</v>
      </c>
      <c r="G99" s="50">
        <v>2</v>
      </c>
      <c r="H99" s="50">
        <v>2</v>
      </c>
      <c r="I99" s="50">
        <v>2</v>
      </c>
      <c r="J99" s="50">
        <v>2</v>
      </c>
      <c r="K99" s="50">
        <v>2</v>
      </c>
      <c r="L99" s="50">
        <v>2</v>
      </c>
      <c r="M99" s="50">
        <v>2</v>
      </c>
      <c r="N99" s="50">
        <v>2</v>
      </c>
      <c r="O99" s="50">
        <v>2</v>
      </c>
      <c r="P99" s="50">
        <v>2</v>
      </c>
      <c r="Q99" s="50">
        <v>2</v>
      </c>
      <c r="R99" s="50">
        <v>2</v>
      </c>
      <c r="S99" s="50">
        <v>2</v>
      </c>
      <c r="T99" s="50">
        <v>2</v>
      </c>
      <c r="U99" s="20">
        <v>0</v>
      </c>
      <c r="V99" s="42">
        <v>0</v>
      </c>
    </row>
    <row r="100" spans="1:22" ht="19.95" customHeight="1" x14ac:dyDescent="0.3">
      <c r="A100" s="93"/>
      <c r="B100" s="99"/>
      <c r="C100" s="47" t="s">
        <v>137</v>
      </c>
      <c r="D100" s="34" t="s">
        <v>22</v>
      </c>
      <c r="E100" s="50">
        <v>2</v>
      </c>
      <c r="F100" s="50">
        <v>2</v>
      </c>
      <c r="G100" s="50">
        <v>2</v>
      </c>
      <c r="H100" s="50">
        <v>2</v>
      </c>
      <c r="I100" s="50">
        <v>2</v>
      </c>
      <c r="J100" s="50">
        <v>2</v>
      </c>
      <c r="K100" s="50">
        <v>2</v>
      </c>
      <c r="L100" s="50">
        <v>2</v>
      </c>
      <c r="M100" s="50">
        <v>2</v>
      </c>
      <c r="N100" s="50">
        <v>2</v>
      </c>
      <c r="O100" s="50">
        <v>2</v>
      </c>
      <c r="P100" s="50">
        <v>2</v>
      </c>
      <c r="Q100" s="50">
        <v>2</v>
      </c>
      <c r="R100" s="50">
        <v>2</v>
      </c>
      <c r="S100" s="50">
        <v>2</v>
      </c>
      <c r="T100" s="50">
        <v>2</v>
      </c>
      <c r="U100" s="20">
        <v>0</v>
      </c>
      <c r="V100" s="42">
        <v>0</v>
      </c>
    </row>
    <row r="101" spans="1:22" ht="19.95" customHeight="1" x14ac:dyDescent="0.3">
      <c r="A101" s="93"/>
      <c r="B101" s="99"/>
      <c r="C101" s="47" t="s">
        <v>138</v>
      </c>
      <c r="D101" s="34" t="s">
        <v>78</v>
      </c>
      <c r="E101" s="50">
        <v>2</v>
      </c>
      <c r="F101" s="50">
        <v>2</v>
      </c>
      <c r="G101" s="50">
        <v>2</v>
      </c>
      <c r="H101" s="50">
        <v>2</v>
      </c>
      <c r="I101" s="50">
        <v>2</v>
      </c>
      <c r="J101" s="50">
        <v>2</v>
      </c>
      <c r="K101" s="50">
        <v>2</v>
      </c>
      <c r="L101" s="50">
        <v>2</v>
      </c>
      <c r="M101" s="50">
        <v>2</v>
      </c>
      <c r="N101" s="50">
        <v>2</v>
      </c>
      <c r="O101" s="50">
        <v>2</v>
      </c>
      <c r="P101" s="50">
        <v>2</v>
      </c>
      <c r="Q101" s="50">
        <v>2</v>
      </c>
      <c r="R101" s="50">
        <v>2</v>
      </c>
      <c r="S101" s="50">
        <v>2</v>
      </c>
      <c r="T101" s="50">
        <v>2</v>
      </c>
      <c r="U101" s="20">
        <v>0</v>
      </c>
      <c r="V101" s="42">
        <v>0</v>
      </c>
    </row>
    <row r="102" spans="1:22" ht="19.95" customHeight="1" x14ac:dyDescent="0.3">
      <c r="A102" s="93"/>
      <c r="B102" s="99"/>
      <c r="C102" s="47" t="s">
        <v>139</v>
      </c>
      <c r="D102" s="34" t="s">
        <v>79</v>
      </c>
      <c r="E102" s="50">
        <v>2</v>
      </c>
      <c r="F102" s="50">
        <v>2</v>
      </c>
      <c r="G102" s="50">
        <v>2</v>
      </c>
      <c r="H102" s="50">
        <v>2</v>
      </c>
      <c r="I102" s="50">
        <v>2</v>
      </c>
      <c r="J102" s="50">
        <v>2</v>
      </c>
      <c r="K102" s="50">
        <v>2</v>
      </c>
      <c r="L102" s="50">
        <v>2</v>
      </c>
      <c r="M102" s="50">
        <v>2</v>
      </c>
      <c r="N102" s="50">
        <v>2</v>
      </c>
      <c r="O102" s="50">
        <v>2</v>
      </c>
      <c r="P102" s="50">
        <v>2</v>
      </c>
      <c r="Q102" s="50">
        <v>2</v>
      </c>
      <c r="R102" s="50">
        <v>2</v>
      </c>
      <c r="S102" s="50">
        <v>2</v>
      </c>
      <c r="T102" s="50">
        <v>2</v>
      </c>
      <c r="U102" s="20">
        <v>0</v>
      </c>
      <c r="V102" s="42">
        <v>0</v>
      </c>
    </row>
    <row r="103" spans="1:22" ht="19.95" customHeight="1" x14ac:dyDescent="0.3">
      <c r="A103" s="93"/>
      <c r="B103" s="100" t="s">
        <v>13</v>
      </c>
      <c r="C103" s="17" t="s">
        <v>47</v>
      </c>
      <c r="D103" s="37" t="s">
        <v>17</v>
      </c>
      <c r="E103" s="50">
        <v>5</v>
      </c>
      <c r="F103" s="50">
        <v>5</v>
      </c>
      <c r="G103" s="50">
        <v>5</v>
      </c>
      <c r="H103" s="50">
        <v>5</v>
      </c>
      <c r="I103" s="50">
        <v>5</v>
      </c>
      <c r="J103" s="50">
        <v>5</v>
      </c>
      <c r="K103" s="50">
        <v>5</v>
      </c>
      <c r="L103" s="50">
        <v>5</v>
      </c>
      <c r="M103" s="50">
        <v>5</v>
      </c>
      <c r="N103" s="50">
        <v>5</v>
      </c>
      <c r="O103" s="50">
        <v>5</v>
      </c>
      <c r="P103" s="50">
        <v>5</v>
      </c>
      <c r="Q103" s="50">
        <v>5</v>
      </c>
      <c r="R103" s="50">
        <v>5</v>
      </c>
      <c r="S103" s="50">
        <v>5</v>
      </c>
      <c r="T103" s="50">
        <v>5</v>
      </c>
      <c r="U103" s="50">
        <v>5</v>
      </c>
      <c r="V103" s="20">
        <v>0</v>
      </c>
    </row>
    <row r="104" spans="1:22" ht="19.95" customHeight="1" x14ac:dyDescent="0.3">
      <c r="A104" s="93"/>
      <c r="B104" s="101"/>
      <c r="C104" s="38" t="s">
        <v>48</v>
      </c>
      <c r="D104" s="36" t="s">
        <v>17</v>
      </c>
      <c r="E104" s="50">
        <v>5</v>
      </c>
      <c r="F104" s="50">
        <v>5</v>
      </c>
      <c r="G104" s="50">
        <v>5</v>
      </c>
      <c r="H104" s="50">
        <v>5</v>
      </c>
      <c r="I104" s="50">
        <v>5</v>
      </c>
      <c r="J104" s="50">
        <v>5</v>
      </c>
      <c r="K104" s="50">
        <v>5</v>
      </c>
      <c r="L104" s="50">
        <v>5</v>
      </c>
      <c r="M104" s="50">
        <v>5</v>
      </c>
      <c r="N104" s="50">
        <v>5</v>
      </c>
      <c r="O104" s="50">
        <v>5</v>
      </c>
      <c r="P104" s="50">
        <v>5</v>
      </c>
      <c r="Q104" s="50">
        <v>5</v>
      </c>
      <c r="R104" s="50">
        <v>5</v>
      </c>
      <c r="S104" s="50">
        <v>5</v>
      </c>
      <c r="T104" s="50">
        <v>5</v>
      </c>
      <c r="U104" s="50">
        <v>5</v>
      </c>
      <c r="V104" s="20">
        <v>0</v>
      </c>
    </row>
    <row r="105" spans="1:22" ht="19.95" customHeight="1" x14ac:dyDescent="0.3">
      <c r="A105" s="93"/>
      <c r="B105" s="102" t="s">
        <v>10</v>
      </c>
      <c r="C105" s="102"/>
      <c r="D105" s="72" t="s">
        <v>9</v>
      </c>
      <c r="E105" s="73"/>
      <c r="F105" s="58">
        <f>SUM(E17:E104)</f>
        <v>174</v>
      </c>
      <c r="G105" s="15">
        <f>SUM(G17:G104)</f>
        <v>168</v>
      </c>
      <c r="H105" s="15">
        <f>SUM(H17:H104)</f>
        <v>164</v>
      </c>
      <c r="I105" s="15">
        <f>SUM(I17:I104)</f>
        <v>160</v>
      </c>
      <c r="J105" s="15">
        <f>SUM(J17:J104)-J25-J25</f>
        <v>147</v>
      </c>
      <c r="K105" s="15">
        <f>SUM(K17:K104)</f>
        <v>132</v>
      </c>
      <c r="L105" s="15">
        <f>SUM(L17:L104)</f>
        <v>119</v>
      </c>
      <c r="M105" s="15">
        <f>SUM(M17:M104)-M45-M45-M40+M40</f>
        <v>97</v>
      </c>
      <c r="N105" s="15">
        <f>SUM(N17:N104)</f>
        <v>87</v>
      </c>
      <c r="O105" s="15">
        <f>SUM(O17:O104)</f>
        <v>75</v>
      </c>
      <c r="P105" s="15">
        <f>SUM(P17:P104)-P56-P56-P58-P58</f>
        <v>57</v>
      </c>
      <c r="Q105" s="15">
        <f t="shared" ref="Q105:V105" si="0">SUM(Q17:Q104)</f>
        <v>52</v>
      </c>
      <c r="R105" s="15">
        <f t="shared" si="0"/>
        <v>48</v>
      </c>
      <c r="S105" s="15">
        <f t="shared" si="0"/>
        <v>38</v>
      </c>
      <c r="T105" s="15">
        <f t="shared" si="0"/>
        <v>28</v>
      </c>
      <c r="U105" s="15">
        <f t="shared" si="0"/>
        <v>10</v>
      </c>
      <c r="V105" s="15">
        <f t="shared" si="0"/>
        <v>0</v>
      </c>
    </row>
    <row r="106" spans="1:22" ht="19.95" customHeight="1" x14ac:dyDescent="0.3">
      <c r="A106" s="93"/>
      <c r="B106" s="102"/>
      <c r="C106" s="102"/>
      <c r="D106" s="72" t="s">
        <v>18</v>
      </c>
      <c r="E106" s="72"/>
      <c r="F106" s="15">
        <f>SUM(F17:F104)</f>
        <v>178</v>
      </c>
      <c r="G106" s="15">
        <f>SUM(G17:G104)</f>
        <v>168</v>
      </c>
      <c r="H106" s="15">
        <f>SUM(H17:H104)</f>
        <v>164</v>
      </c>
      <c r="I106" s="15">
        <f>SUM(I17:I104)</f>
        <v>160</v>
      </c>
      <c r="J106" s="15">
        <f>SUM(J17:J104)-J25</f>
        <v>148</v>
      </c>
      <c r="K106" s="15">
        <f>SUM(K17:K104)-K28</f>
        <v>130</v>
      </c>
      <c r="L106" s="15">
        <f>SUM(L17:L104)</f>
        <v>119</v>
      </c>
      <c r="M106" s="15">
        <f>SUM(M17:M104)-M45-M40</f>
        <v>100</v>
      </c>
      <c r="N106" s="15">
        <f>SUM(N17:N104)</f>
        <v>87</v>
      </c>
      <c r="O106" s="15">
        <f>SUM(O17:O104)-O51-O54</f>
        <v>73</v>
      </c>
      <c r="P106" s="15">
        <f>SUM(P17:P104)-P56-P58-P66-P68</f>
        <v>57</v>
      </c>
      <c r="Q106" s="15">
        <f t="shared" ref="Q106:V106" si="1">SUM(Q17:Q104)</f>
        <v>52</v>
      </c>
      <c r="R106" s="15">
        <f t="shared" si="1"/>
        <v>48</v>
      </c>
      <c r="S106" s="15">
        <f t="shared" si="1"/>
        <v>38</v>
      </c>
      <c r="T106" s="15">
        <f t="shared" si="1"/>
        <v>28</v>
      </c>
      <c r="U106" s="15">
        <f t="shared" si="1"/>
        <v>10</v>
      </c>
      <c r="V106" s="15">
        <f t="shared" si="1"/>
        <v>0</v>
      </c>
    </row>
    <row r="107" spans="1:22" ht="19.95" customHeight="1" x14ac:dyDescent="0.3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V107" s="1"/>
    </row>
    <row r="108" spans="1:22" ht="19.95" customHeight="1" x14ac:dyDescent="0.3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V108" s="1"/>
    </row>
    <row r="109" spans="1:22" ht="19.95" customHeight="1" x14ac:dyDescent="0.3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</row>
    <row r="110" spans="1:22" ht="19.95" customHeight="1" x14ac:dyDescent="0.3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</row>
    <row r="111" spans="1:22" ht="19.95" customHeight="1" x14ac:dyDescent="0.3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</row>
    <row r="112" spans="1:22" ht="19.95" customHeight="1" x14ac:dyDescent="0.3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</row>
    <row r="113" spans="1:18" ht="19.95" customHeight="1" x14ac:dyDescent="0.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</row>
    <row r="114" spans="1:18" ht="19.95" customHeight="1" x14ac:dyDescent="0.3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</row>
    <row r="115" spans="1:18" ht="19.95" customHeight="1" x14ac:dyDescent="0.3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</row>
    <row r="116" spans="1:18" ht="19.95" customHeight="1" x14ac:dyDescent="0.3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</row>
    <row r="117" spans="1:18" ht="19.95" customHeight="1" x14ac:dyDescent="0.3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</row>
    <row r="118" spans="1:18" ht="19.95" customHeight="1" x14ac:dyDescent="0.3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</row>
    <row r="119" spans="1:18" ht="19.95" customHeight="1" x14ac:dyDescent="0.3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</row>
    <row r="120" spans="1:18" ht="19.95" customHeight="1" x14ac:dyDescent="0.3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</row>
    <row r="121" spans="1:18" ht="19.95" customHeight="1" x14ac:dyDescent="0.3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</row>
    <row r="122" spans="1:18" ht="19.95" customHeight="1" x14ac:dyDescent="0.3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</row>
    <row r="123" spans="1:18" ht="19.95" customHeight="1" x14ac:dyDescent="0.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</row>
    <row r="124" spans="1:18" ht="19.95" customHeight="1" x14ac:dyDescent="0.3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</row>
    <row r="125" spans="1:18" ht="19.95" customHeight="1" x14ac:dyDescent="0.3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</row>
    <row r="126" spans="1:18" ht="19.95" customHeight="1" x14ac:dyDescent="0.3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</row>
    <row r="127" spans="1:18" ht="19.95" customHeight="1" x14ac:dyDescent="0.3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</row>
    <row r="128" spans="1:18" ht="19.95" customHeight="1" x14ac:dyDescent="0.3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</row>
    <row r="129" spans="1:18" ht="19.95" customHeight="1" x14ac:dyDescent="0.3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</row>
    <row r="130" spans="1:18" ht="19.95" customHeight="1" x14ac:dyDescent="0.3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</row>
    <row r="131" spans="1:18" ht="19.95" customHeight="1" x14ac:dyDescent="0.3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</row>
    <row r="132" spans="1:18" ht="19.95" customHeight="1" x14ac:dyDescent="0.3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</row>
    <row r="133" spans="1:18" ht="19.95" customHeight="1" x14ac:dyDescent="0.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</row>
    <row r="134" spans="1:18" ht="19.95" customHeight="1" x14ac:dyDescent="0.3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</row>
    <row r="135" spans="1:18" ht="19.95" customHeight="1" x14ac:dyDescent="0.3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</row>
    <row r="136" spans="1:18" ht="19.95" customHeight="1" x14ac:dyDescent="0.3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</row>
    <row r="137" spans="1:18" ht="19.95" customHeight="1" x14ac:dyDescent="0.3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</row>
    <row r="138" spans="1:18" ht="19.95" customHeight="1" x14ac:dyDescent="0.3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</row>
    <row r="139" spans="1:18" ht="19.95" customHeight="1" x14ac:dyDescent="0.3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</row>
    <row r="140" spans="1:18" ht="19.95" customHeight="1" x14ac:dyDescent="0.3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</row>
    <row r="141" spans="1:18" ht="19.95" customHeight="1" x14ac:dyDescent="0.3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</row>
    <row r="142" spans="1:18" ht="19.95" customHeight="1" x14ac:dyDescent="0.3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</row>
    <row r="143" spans="1:18" ht="19.95" customHeight="1" x14ac:dyDescent="0.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</row>
    <row r="144" spans="1:18" ht="19.95" customHeight="1" x14ac:dyDescent="0.3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</row>
    <row r="145" spans="1:18" ht="19.95" customHeight="1" x14ac:dyDescent="0.3">
      <c r="A145" s="1"/>
      <c r="B145" s="1"/>
      <c r="C145" s="1"/>
      <c r="D145" s="1"/>
      <c r="E145" s="1"/>
      <c r="F145" s="1"/>
      <c r="G145" s="1"/>
      <c r="H145" s="1"/>
      <c r="I145" s="17"/>
      <c r="J145" s="17"/>
      <c r="K145" s="17"/>
      <c r="L145" s="17"/>
      <c r="M145" s="17"/>
      <c r="N145" s="17"/>
      <c r="O145" s="17"/>
      <c r="P145" s="17"/>
      <c r="Q145" s="17"/>
      <c r="R145" s="17"/>
    </row>
    <row r="146" spans="1:18" ht="19.95" customHeight="1" x14ac:dyDescent="0.3">
      <c r="A146" s="1"/>
      <c r="B146" s="1"/>
      <c r="C146" s="1"/>
      <c r="D146" s="1"/>
      <c r="E146" s="1"/>
      <c r="F146" s="1"/>
      <c r="G146" s="1"/>
      <c r="H146" s="1"/>
      <c r="I146" s="17"/>
      <c r="J146" s="17"/>
      <c r="K146" s="17"/>
      <c r="L146" s="17"/>
      <c r="M146" s="17"/>
      <c r="N146" s="17"/>
      <c r="O146" s="17"/>
      <c r="P146" s="17"/>
      <c r="Q146" s="17"/>
      <c r="R146" s="17"/>
    </row>
    <row r="147" spans="1:18" ht="19.95" customHeight="1" x14ac:dyDescent="0.3">
      <c r="A147" s="1"/>
      <c r="B147" s="1"/>
      <c r="C147" s="1"/>
      <c r="D147" s="1"/>
      <c r="E147" s="1"/>
      <c r="F147" s="1"/>
      <c r="G147" s="1"/>
      <c r="H147" s="1"/>
      <c r="I147" s="17"/>
      <c r="J147" s="17"/>
      <c r="K147" s="17"/>
      <c r="L147" s="17"/>
      <c r="M147" s="17"/>
      <c r="N147" s="17"/>
      <c r="O147" s="17"/>
      <c r="P147" s="17"/>
      <c r="Q147" s="17"/>
      <c r="R147" s="17"/>
    </row>
    <row r="148" spans="1:18" ht="19.95" customHeight="1" x14ac:dyDescent="0.3">
      <c r="A148" s="1"/>
      <c r="B148" s="1"/>
      <c r="C148" s="1"/>
      <c r="D148" s="1"/>
      <c r="E148" s="1"/>
      <c r="F148" s="1"/>
      <c r="G148" s="1"/>
      <c r="H148" s="1"/>
      <c r="I148" s="17"/>
      <c r="J148" s="17"/>
      <c r="K148" s="17"/>
      <c r="L148" s="17"/>
      <c r="M148" s="17"/>
      <c r="N148" s="17"/>
      <c r="O148" s="17"/>
      <c r="P148" s="17"/>
      <c r="Q148" s="17"/>
      <c r="R148" s="17"/>
    </row>
    <row r="149" spans="1:18" ht="19.95" customHeight="1" x14ac:dyDescent="0.3">
      <c r="A149" s="1"/>
      <c r="B149" s="1"/>
      <c r="C149" s="1"/>
      <c r="D149" s="1"/>
      <c r="E149" s="1"/>
      <c r="F149" s="1"/>
      <c r="G149" s="1"/>
      <c r="H149" s="1"/>
      <c r="I149" s="17"/>
      <c r="J149" s="17"/>
      <c r="K149" s="17"/>
      <c r="L149" s="17"/>
      <c r="M149" s="17"/>
      <c r="N149" s="17"/>
      <c r="O149" s="17"/>
      <c r="P149" s="17"/>
      <c r="Q149" s="17"/>
      <c r="R149" s="17"/>
    </row>
    <row r="150" spans="1:18" ht="19.95" customHeight="1" x14ac:dyDescent="0.3">
      <c r="A150" s="1"/>
      <c r="B150" s="1"/>
      <c r="C150" s="1"/>
      <c r="D150" s="1"/>
      <c r="E150" s="1"/>
      <c r="F150" s="1"/>
      <c r="G150" s="1"/>
      <c r="H150" s="1"/>
      <c r="I150" s="17"/>
      <c r="J150" s="17"/>
      <c r="K150" s="17"/>
      <c r="L150" s="17"/>
      <c r="M150" s="17"/>
      <c r="N150" s="17"/>
      <c r="O150" s="17"/>
      <c r="P150" s="17"/>
      <c r="Q150" s="17"/>
      <c r="R150" s="17"/>
    </row>
    <row r="151" spans="1:18" ht="19.95" customHeight="1" x14ac:dyDescent="0.3">
      <c r="A151" s="1"/>
      <c r="B151" s="1"/>
      <c r="C151" s="1"/>
      <c r="D151" s="1"/>
      <c r="E151" s="1"/>
      <c r="F151" s="1"/>
      <c r="G151" s="1"/>
      <c r="H151" s="1"/>
      <c r="I151" s="17"/>
      <c r="J151" s="17"/>
      <c r="K151" s="17"/>
      <c r="L151" s="17"/>
      <c r="M151" s="17"/>
      <c r="N151" s="17"/>
      <c r="O151" s="17"/>
      <c r="P151" s="17"/>
      <c r="Q151" s="17"/>
      <c r="R151" s="17"/>
    </row>
    <row r="152" spans="1:18" ht="19.95" customHeight="1" x14ac:dyDescent="0.3">
      <c r="A152" s="1"/>
      <c r="B152" s="1"/>
      <c r="C152" s="1"/>
      <c r="D152" s="1"/>
      <c r="E152" s="1"/>
      <c r="F152" s="1"/>
      <c r="G152" s="1"/>
      <c r="H152" s="1"/>
      <c r="I152" s="17"/>
      <c r="J152" s="17"/>
      <c r="K152" s="17"/>
      <c r="L152" s="17"/>
      <c r="M152" s="17"/>
      <c r="N152" s="17"/>
      <c r="O152" s="17"/>
      <c r="P152" s="17"/>
      <c r="Q152" s="17"/>
      <c r="R152" s="17"/>
    </row>
    <row r="153" spans="1:18" ht="19.95" customHeight="1" x14ac:dyDescent="0.3">
      <c r="A153" s="1"/>
      <c r="B153" s="1"/>
      <c r="C153" s="1"/>
      <c r="D153" s="1"/>
      <c r="E153" s="1"/>
      <c r="F153" s="1"/>
      <c r="G153" s="1"/>
      <c r="H153" s="1"/>
      <c r="I153" s="17"/>
      <c r="J153" s="17"/>
      <c r="K153" s="17"/>
      <c r="L153" s="17"/>
      <c r="M153" s="17"/>
      <c r="N153" s="17"/>
      <c r="O153" s="17"/>
      <c r="P153" s="17"/>
      <c r="Q153" s="17"/>
      <c r="R153" s="17"/>
    </row>
    <row r="154" spans="1:18" ht="19.95" customHeight="1" x14ac:dyDescent="0.3">
      <c r="A154" s="1"/>
      <c r="B154" s="1"/>
      <c r="C154" s="1"/>
      <c r="D154" s="1"/>
      <c r="E154" s="1"/>
      <c r="F154" s="1"/>
      <c r="G154" s="1"/>
      <c r="H154" s="1"/>
      <c r="I154" s="17"/>
      <c r="J154" s="17"/>
      <c r="K154" s="17"/>
      <c r="L154" s="17"/>
      <c r="M154" s="17"/>
      <c r="N154" s="17"/>
      <c r="O154" s="17"/>
      <c r="P154" s="17"/>
      <c r="Q154" s="17"/>
      <c r="R154" s="17"/>
    </row>
    <row r="155" spans="1:18" ht="19.95" customHeight="1" x14ac:dyDescent="0.3">
      <c r="A155" s="1"/>
      <c r="B155" s="1"/>
      <c r="C155" s="1"/>
      <c r="D155" s="1"/>
      <c r="E155" s="1"/>
      <c r="F155" s="1"/>
      <c r="G155" s="1"/>
      <c r="H155" s="1"/>
      <c r="I155" s="17"/>
      <c r="J155" s="17"/>
      <c r="K155" s="17"/>
      <c r="L155" s="17"/>
      <c r="M155" s="17"/>
      <c r="N155" s="17"/>
      <c r="O155" s="17"/>
      <c r="P155" s="17"/>
      <c r="Q155" s="17"/>
      <c r="R155" s="17"/>
    </row>
    <row r="156" spans="1:18" ht="19.95" customHeight="1" x14ac:dyDescent="0.3">
      <c r="A156" s="1"/>
      <c r="B156" s="1"/>
      <c r="C156" s="1"/>
      <c r="D156" s="1"/>
      <c r="E156" s="1"/>
      <c r="F156" s="1"/>
      <c r="G156" s="1"/>
      <c r="H156" s="1"/>
      <c r="I156" s="17"/>
      <c r="J156" s="17"/>
      <c r="K156" s="17"/>
      <c r="L156" s="17"/>
      <c r="M156" s="17"/>
      <c r="N156" s="17"/>
      <c r="O156" s="17"/>
      <c r="P156" s="17"/>
      <c r="Q156" s="17"/>
      <c r="R156" s="17"/>
    </row>
    <row r="157" spans="1:18" ht="19.95" customHeight="1" x14ac:dyDescent="0.3">
      <c r="A157" s="1"/>
      <c r="B157" s="1"/>
      <c r="C157" s="1"/>
      <c r="D157" s="1"/>
      <c r="E157" s="1"/>
      <c r="F157" s="1"/>
      <c r="G157" s="1"/>
      <c r="H157" s="1"/>
      <c r="I157" s="17"/>
      <c r="J157" s="17"/>
      <c r="K157" s="17"/>
      <c r="L157" s="17"/>
      <c r="M157" s="17"/>
      <c r="N157" s="17"/>
      <c r="O157" s="17"/>
      <c r="P157" s="17"/>
      <c r="Q157" s="17"/>
      <c r="R157" s="17"/>
    </row>
    <row r="158" spans="1:18" ht="19.95" customHeight="1" x14ac:dyDescent="0.3">
      <c r="A158" s="1"/>
      <c r="B158" s="1"/>
      <c r="C158" s="1"/>
      <c r="D158" s="1"/>
      <c r="E158" s="1"/>
      <c r="F158" s="1"/>
      <c r="G158" s="1"/>
      <c r="H158" s="1"/>
      <c r="I158" s="17"/>
      <c r="J158" s="17"/>
      <c r="K158" s="17"/>
      <c r="L158" s="17"/>
      <c r="M158" s="17"/>
      <c r="N158" s="17"/>
      <c r="O158" s="17"/>
      <c r="P158" s="17"/>
      <c r="Q158" s="17"/>
      <c r="R158" s="17"/>
    </row>
    <row r="159" spans="1:18" ht="19.95" customHeight="1" x14ac:dyDescent="0.3">
      <c r="A159" s="1"/>
      <c r="B159" s="1"/>
      <c r="C159" s="1"/>
      <c r="D159" s="1"/>
      <c r="E159" s="1"/>
      <c r="F159" s="1"/>
      <c r="G159" s="1"/>
      <c r="H159" s="1"/>
      <c r="I159" s="17"/>
      <c r="J159" s="17"/>
      <c r="K159" s="17"/>
      <c r="L159" s="17"/>
      <c r="M159" s="17"/>
      <c r="N159" s="17"/>
      <c r="O159" s="17"/>
      <c r="P159" s="17"/>
      <c r="Q159" s="17"/>
      <c r="R159" s="17"/>
    </row>
    <row r="160" spans="1:18" ht="19.95" customHeight="1" x14ac:dyDescent="0.3">
      <c r="A160" s="1"/>
      <c r="B160" s="1"/>
      <c r="C160" s="1"/>
      <c r="D160" s="1"/>
      <c r="E160" s="1"/>
      <c r="F160" s="1"/>
      <c r="G160" s="1"/>
      <c r="H160" s="1"/>
      <c r="I160" s="17"/>
      <c r="J160" s="17"/>
      <c r="K160" s="17"/>
      <c r="L160" s="17"/>
      <c r="M160" s="17"/>
      <c r="N160" s="17"/>
      <c r="O160" s="17"/>
      <c r="P160" s="17"/>
      <c r="Q160" s="17"/>
      <c r="R160" s="17"/>
    </row>
    <row r="161" spans="1:18" ht="19.95" customHeight="1" x14ac:dyDescent="0.3">
      <c r="A161" s="1"/>
      <c r="B161" s="1"/>
      <c r="C161" s="1"/>
      <c r="D161" s="1"/>
      <c r="E161" s="1"/>
      <c r="F161" s="1"/>
      <c r="G161" s="1"/>
      <c r="H161" s="1"/>
      <c r="I161" s="17"/>
      <c r="J161" s="17"/>
      <c r="K161" s="17"/>
      <c r="L161" s="17"/>
      <c r="M161" s="17"/>
      <c r="N161" s="17"/>
      <c r="O161" s="17"/>
      <c r="P161" s="17"/>
      <c r="Q161" s="17"/>
      <c r="R161" s="17"/>
    </row>
    <row r="162" spans="1:18" ht="19.95" customHeight="1" x14ac:dyDescent="0.3">
      <c r="A162" s="1"/>
      <c r="B162" s="1"/>
      <c r="C162" s="1"/>
      <c r="D162" s="1"/>
      <c r="E162" s="1"/>
      <c r="F162" s="1"/>
      <c r="G162" s="1"/>
      <c r="H162" s="1"/>
      <c r="I162" s="17"/>
      <c r="J162" s="17"/>
      <c r="K162" s="17"/>
      <c r="L162" s="17"/>
      <c r="M162" s="17"/>
      <c r="N162" s="17"/>
      <c r="O162" s="17"/>
      <c r="P162" s="17"/>
      <c r="Q162" s="17"/>
      <c r="R162" s="17"/>
    </row>
    <row r="163" spans="1:18" ht="19.95" customHeight="1" x14ac:dyDescent="0.3">
      <c r="A163" s="1"/>
      <c r="B163" s="1"/>
      <c r="C163" s="1"/>
      <c r="D163" s="1"/>
      <c r="E163" s="1"/>
      <c r="F163" s="1"/>
      <c r="G163" s="1"/>
      <c r="H163" s="1"/>
      <c r="I163" s="17"/>
      <c r="J163" s="17"/>
      <c r="K163" s="17"/>
      <c r="L163" s="17"/>
      <c r="M163" s="17"/>
      <c r="N163" s="17"/>
      <c r="O163" s="17"/>
      <c r="P163" s="17"/>
      <c r="Q163" s="17"/>
      <c r="R163" s="17"/>
    </row>
    <row r="164" spans="1:18" ht="19.95" customHeight="1" x14ac:dyDescent="0.3">
      <c r="A164" s="1"/>
      <c r="B164" s="1"/>
      <c r="C164" s="1"/>
      <c r="D164" s="1"/>
      <c r="E164" s="1"/>
      <c r="F164" s="1"/>
      <c r="G164" s="1"/>
      <c r="H164" s="1"/>
      <c r="I164" s="17"/>
      <c r="J164" s="17"/>
      <c r="K164" s="17"/>
      <c r="L164" s="17"/>
      <c r="M164" s="17"/>
      <c r="N164" s="17"/>
      <c r="O164" s="17"/>
      <c r="P164" s="17"/>
      <c r="Q164" s="17"/>
      <c r="R164" s="17"/>
    </row>
    <row r="165" spans="1:18" ht="19.95" customHeight="1" x14ac:dyDescent="0.3">
      <c r="A165" s="1"/>
      <c r="B165" s="1"/>
      <c r="C165" s="1"/>
      <c r="D165" s="1"/>
      <c r="E165" s="1"/>
      <c r="F165" s="1"/>
      <c r="G165" s="1"/>
      <c r="H165" s="1"/>
      <c r="I165" s="17"/>
      <c r="J165" s="17"/>
      <c r="K165" s="17"/>
      <c r="L165" s="17"/>
      <c r="M165" s="17"/>
      <c r="N165" s="17"/>
      <c r="O165" s="17"/>
      <c r="P165" s="17"/>
      <c r="Q165" s="17"/>
      <c r="R165" s="17"/>
    </row>
    <row r="166" spans="1:18" ht="19.95" customHeight="1" x14ac:dyDescent="0.3">
      <c r="A166" s="1"/>
      <c r="B166" s="1"/>
      <c r="C166" s="1"/>
      <c r="D166" s="1"/>
      <c r="E166" s="1"/>
      <c r="F166" s="1"/>
      <c r="G166" s="1"/>
      <c r="H166" s="1"/>
      <c r="I166" s="17"/>
      <c r="J166" s="17"/>
      <c r="K166" s="17"/>
      <c r="L166" s="17"/>
      <c r="M166" s="17"/>
      <c r="N166" s="17"/>
      <c r="O166" s="17"/>
      <c r="P166" s="17"/>
      <c r="Q166" s="17"/>
      <c r="R166" s="17"/>
    </row>
    <row r="167" spans="1:18" ht="19.95" customHeight="1" x14ac:dyDescent="0.3">
      <c r="A167" s="1"/>
      <c r="B167" s="1"/>
      <c r="C167" s="1"/>
      <c r="D167" s="1"/>
      <c r="E167" s="1"/>
      <c r="F167" s="1"/>
      <c r="G167" s="1"/>
      <c r="H167" s="1"/>
      <c r="I167" s="17"/>
      <c r="J167" s="17"/>
      <c r="K167" s="17"/>
      <c r="L167" s="17"/>
      <c r="M167" s="17"/>
      <c r="N167" s="17"/>
      <c r="O167" s="17"/>
      <c r="P167" s="17"/>
      <c r="Q167" s="17"/>
      <c r="R167" s="17"/>
    </row>
    <row r="168" spans="1:18" ht="19.95" customHeight="1" x14ac:dyDescent="0.3">
      <c r="A168" s="1"/>
      <c r="B168" s="1"/>
      <c r="C168" s="1"/>
      <c r="D168" s="1"/>
      <c r="E168" s="1"/>
      <c r="F168" s="1"/>
      <c r="G168" s="1"/>
      <c r="H168" s="1"/>
      <c r="I168" s="17"/>
      <c r="J168" s="17"/>
      <c r="K168" s="17"/>
      <c r="L168" s="17"/>
      <c r="M168" s="17"/>
      <c r="N168" s="17"/>
      <c r="O168" s="17"/>
      <c r="P168" s="17"/>
      <c r="Q168" s="17"/>
      <c r="R168" s="17"/>
    </row>
    <row r="169" spans="1:18" ht="19.95" customHeight="1" x14ac:dyDescent="0.3">
      <c r="A169" s="1"/>
      <c r="B169" s="1"/>
      <c r="C169" s="1"/>
      <c r="D169" s="1"/>
      <c r="E169" s="1"/>
      <c r="F169" s="1"/>
      <c r="G169" s="1"/>
      <c r="H169" s="1"/>
      <c r="I169" s="17"/>
      <c r="J169" s="17"/>
      <c r="K169" s="17"/>
      <c r="L169" s="17"/>
      <c r="M169" s="17"/>
      <c r="N169" s="17"/>
      <c r="O169" s="17"/>
      <c r="P169" s="17"/>
      <c r="Q169" s="17"/>
      <c r="R169" s="17"/>
    </row>
    <row r="170" spans="1:18" ht="19.95" customHeight="1" x14ac:dyDescent="0.3">
      <c r="A170" s="1"/>
      <c r="B170" s="1"/>
      <c r="C170" s="1"/>
      <c r="D170" s="1"/>
      <c r="E170" s="1"/>
      <c r="F170" s="1"/>
      <c r="G170" s="1"/>
      <c r="H170" s="1"/>
      <c r="I170" s="17"/>
      <c r="J170" s="17"/>
      <c r="K170" s="17"/>
      <c r="L170" s="17"/>
      <c r="M170" s="17"/>
      <c r="N170" s="17"/>
      <c r="O170" s="17"/>
      <c r="P170" s="17"/>
      <c r="Q170" s="17"/>
      <c r="R170" s="17"/>
    </row>
    <row r="171" spans="1:18" ht="19.95" customHeight="1" x14ac:dyDescent="0.3">
      <c r="A171" s="1"/>
      <c r="B171" s="1"/>
      <c r="C171" s="1"/>
      <c r="D171" s="1"/>
      <c r="E171" s="1"/>
      <c r="F171" s="1"/>
      <c r="G171" s="1"/>
      <c r="H171" s="1"/>
      <c r="I171" s="17"/>
      <c r="J171" s="17"/>
      <c r="K171" s="17"/>
      <c r="L171" s="17"/>
      <c r="M171" s="17"/>
      <c r="N171" s="17"/>
      <c r="O171" s="17"/>
      <c r="P171" s="17"/>
      <c r="Q171" s="17"/>
      <c r="R171" s="17"/>
    </row>
    <row r="172" spans="1:18" ht="19.95" customHeight="1" x14ac:dyDescent="0.3">
      <c r="A172" s="1"/>
      <c r="B172" s="1"/>
      <c r="C172" s="1"/>
      <c r="D172" s="1"/>
      <c r="E172" s="1"/>
      <c r="F172" s="1"/>
      <c r="G172" s="1"/>
      <c r="H172" s="1"/>
      <c r="I172" s="17"/>
      <c r="J172" s="17"/>
      <c r="K172" s="17"/>
      <c r="L172" s="17"/>
      <c r="M172" s="17"/>
      <c r="N172" s="17"/>
      <c r="O172" s="17"/>
      <c r="P172" s="17"/>
      <c r="Q172" s="17"/>
      <c r="R172" s="17"/>
    </row>
    <row r="173" spans="1:18" ht="19.95" customHeight="1" x14ac:dyDescent="0.3">
      <c r="A173" s="1"/>
      <c r="B173" s="1"/>
      <c r="C173" s="1"/>
      <c r="D173" s="1"/>
      <c r="E173" s="1"/>
      <c r="F173" s="1"/>
      <c r="G173" s="1"/>
      <c r="H173" s="1"/>
      <c r="I173" s="17"/>
      <c r="J173" s="17"/>
      <c r="K173" s="17"/>
      <c r="L173" s="17"/>
      <c r="M173" s="17"/>
      <c r="N173" s="17"/>
      <c r="O173" s="17"/>
      <c r="P173" s="17"/>
      <c r="Q173" s="17"/>
      <c r="R173" s="17"/>
    </row>
    <row r="174" spans="1:18" ht="19.95" customHeight="1" x14ac:dyDescent="0.3">
      <c r="A174" s="1"/>
      <c r="B174" s="1"/>
      <c r="C174" s="1"/>
      <c r="D174" s="1"/>
      <c r="E174" s="1"/>
      <c r="F174" s="1"/>
      <c r="G174" s="1"/>
      <c r="H174" s="1"/>
      <c r="I174" s="17"/>
      <c r="J174" s="17"/>
      <c r="K174" s="17"/>
      <c r="L174" s="17"/>
      <c r="M174" s="17"/>
      <c r="N174" s="17"/>
      <c r="O174" s="17"/>
      <c r="P174" s="17"/>
      <c r="Q174" s="17"/>
      <c r="R174" s="17"/>
    </row>
    <row r="175" spans="1:18" ht="19.95" customHeight="1" x14ac:dyDescent="0.3">
      <c r="A175" s="1"/>
      <c r="B175" s="1"/>
      <c r="C175" s="1"/>
      <c r="D175" s="1"/>
      <c r="E175" s="1"/>
      <c r="F175" s="1"/>
      <c r="G175" s="1"/>
      <c r="H175" s="1"/>
      <c r="I175" s="17"/>
      <c r="J175" s="17"/>
      <c r="K175" s="17"/>
      <c r="L175" s="17"/>
      <c r="M175" s="17"/>
      <c r="N175" s="17"/>
      <c r="O175" s="17"/>
      <c r="P175" s="17"/>
      <c r="Q175" s="17"/>
      <c r="R175" s="17"/>
    </row>
    <row r="176" spans="1:18" ht="19.95" customHeight="1" x14ac:dyDescent="0.3">
      <c r="A176" s="1"/>
      <c r="B176" s="1"/>
      <c r="C176" s="1"/>
      <c r="D176" s="1"/>
      <c r="E176" s="1"/>
      <c r="F176" s="1"/>
      <c r="G176" s="1"/>
      <c r="H176" s="1"/>
      <c r="I176" s="17"/>
      <c r="J176" s="17"/>
      <c r="K176" s="17"/>
      <c r="L176" s="17"/>
      <c r="M176" s="17"/>
      <c r="N176" s="17"/>
      <c r="O176" s="17"/>
      <c r="P176" s="17"/>
      <c r="Q176" s="17"/>
      <c r="R176" s="17"/>
    </row>
    <row r="177" spans="1:29" ht="19.95" customHeight="1" x14ac:dyDescent="0.3">
      <c r="A177" s="1"/>
      <c r="B177" s="1"/>
      <c r="C177" s="1"/>
      <c r="D177" s="1"/>
      <c r="E177" s="1"/>
      <c r="F177" s="1"/>
      <c r="G177" s="1"/>
      <c r="H177" s="1"/>
      <c r="I177" s="17"/>
      <c r="J177" s="17"/>
      <c r="K177" s="17"/>
      <c r="L177" s="17"/>
      <c r="M177" s="17"/>
      <c r="N177" s="17"/>
      <c r="O177" s="17"/>
      <c r="P177" s="17"/>
      <c r="Q177" s="17"/>
      <c r="R177" s="17"/>
    </row>
    <row r="178" spans="1:29" ht="19.95" customHeight="1" x14ac:dyDescent="0.3">
      <c r="A178" s="1"/>
      <c r="B178" s="1"/>
      <c r="C178" s="1"/>
      <c r="D178" s="1"/>
      <c r="E178" s="1"/>
      <c r="F178" s="1"/>
      <c r="G178" s="1"/>
      <c r="H178" s="1"/>
      <c r="I178" s="17"/>
      <c r="J178" s="17"/>
      <c r="K178" s="17"/>
      <c r="L178" s="17"/>
      <c r="M178" s="17"/>
      <c r="N178" s="17"/>
      <c r="O178" s="17"/>
      <c r="P178" s="17"/>
      <c r="Q178" s="17"/>
      <c r="R178" s="17"/>
    </row>
    <row r="179" spans="1:29" ht="19.9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spans="1:29" ht="19.9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spans="1:29" ht="19.9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spans="1:29" ht="19.9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spans="1:29" ht="19.9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spans="1:29" ht="19.9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spans="1:29" ht="19.9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spans="1:29" ht="19.9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spans="1:29" ht="19.9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spans="1:29" ht="19.9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spans="1:29" ht="19.9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spans="1:29" ht="19.9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spans="1:29" ht="19.9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spans="1:29" ht="19.9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spans="1:29" ht="19.9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spans="1:29" ht="19.9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spans="1:29" ht="19.9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spans="1:29" ht="19.9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spans="1:29" ht="19.9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spans="1:29" ht="19.9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spans="1:29" ht="19.9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spans="1:29" ht="19.9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spans="1:29" ht="19.9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spans="1:29" ht="19.9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spans="1:29" ht="19.9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spans="1:29" ht="19.9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spans="1:29" ht="19.9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spans="1:29" ht="19.9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spans="1:29" ht="19.9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spans="1:29" ht="19.9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spans="1:29" ht="19.9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spans="1:29" ht="19.9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spans="1:29" ht="19.9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spans="1:29" ht="19.9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spans="1:29" ht="19.9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spans="1:29" ht="19.9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spans="1:29" ht="19.9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spans="1:29" ht="19.9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spans="1:29" ht="19.9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spans="1:29" ht="19.9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spans="1:29" ht="19.9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spans="1:29" ht="19.9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spans="1:29" ht="19.95" customHeight="1" x14ac:dyDescent="0.3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spans="1:29" ht="19.95" customHeight="1" x14ac:dyDescent="0.3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spans="1:29" ht="19.95" customHeight="1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spans="1:29" ht="19.95" customHeight="1" x14ac:dyDescent="0.3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spans="1:29" ht="19.95" customHeight="1" x14ac:dyDescent="0.3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spans="1:29" ht="19.95" customHeight="1" x14ac:dyDescent="0.3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spans="1:29" ht="19.95" customHeight="1" x14ac:dyDescent="0.3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spans="1:29" ht="19.95" customHeight="1" x14ac:dyDescent="0.3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spans="1:29" ht="19.95" customHeight="1" x14ac:dyDescent="0.3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spans="1:29" ht="19.95" customHeight="1" x14ac:dyDescent="0.3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spans="1:29" ht="19.95" customHeight="1" x14ac:dyDescent="0.3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spans="1:29" ht="19.95" customHeight="1" x14ac:dyDescent="0.3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spans="1:29" ht="19.95" customHeight="1" x14ac:dyDescent="0.3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spans="1:29" ht="19.95" customHeight="1" x14ac:dyDescent="0.3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spans="1:29" ht="19.95" customHeight="1" x14ac:dyDescent="0.3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spans="1:29" ht="19.95" customHeight="1" x14ac:dyDescent="0.3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spans="1:29" ht="19.95" customHeight="1" x14ac:dyDescent="0.3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spans="1:29" ht="19.95" customHeight="1" x14ac:dyDescent="0.3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spans="1:29" ht="19.95" customHeight="1" x14ac:dyDescent="0.3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spans="1:29" ht="19.95" customHeight="1" x14ac:dyDescent="0.3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spans="1:29" ht="19.95" customHeight="1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spans="1:29" ht="19.95" customHeight="1" x14ac:dyDescent="0.3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spans="1:29" ht="19.95" customHeight="1" x14ac:dyDescent="0.3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spans="1:29" ht="19.95" customHeight="1" x14ac:dyDescent="0.3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spans="1:29" ht="19.95" customHeight="1" x14ac:dyDescent="0.3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spans="1:29" ht="19.95" customHeight="1" x14ac:dyDescent="0.3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spans="1:29" ht="19.95" customHeight="1" x14ac:dyDescent="0.3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spans="1:29" ht="19.95" customHeight="1" x14ac:dyDescent="0.3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spans="1:29" ht="19.95" customHeight="1" x14ac:dyDescent="0.3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spans="1:29" ht="19.95" customHeight="1" x14ac:dyDescent="0.3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spans="1:29" ht="19.95" customHeight="1" x14ac:dyDescent="0.3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spans="1:29" ht="19.95" customHeight="1" x14ac:dyDescent="0.3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spans="1:29" ht="19.95" customHeight="1" x14ac:dyDescent="0.3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spans="1:29" ht="19.95" customHeight="1" x14ac:dyDescent="0.3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spans="1:29" ht="19.95" customHeight="1" x14ac:dyDescent="0.3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spans="1:29" ht="19.95" customHeight="1" x14ac:dyDescent="0.3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spans="1:29" ht="19.95" customHeight="1" x14ac:dyDescent="0.3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spans="1:29" ht="19.95" customHeight="1" x14ac:dyDescent="0.3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spans="1:29" ht="19.95" customHeight="1" x14ac:dyDescent="0.3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spans="1:29" ht="19.95" customHeight="1" x14ac:dyDescent="0.3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spans="1:29" ht="19.95" customHeight="1" x14ac:dyDescent="0.3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spans="1:29" ht="19.95" customHeight="1" x14ac:dyDescent="0.3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spans="1:29" ht="19.95" customHeight="1" x14ac:dyDescent="0.3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spans="1:29" ht="19.95" customHeight="1" x14ac:dyDescent="0.3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spans="1:29" ht="19.95" customHeight="1" x14ac:dyDescent="0.3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spans="1:29" ht="19.95" customHeight="1" x14ac:dyDescent="0.3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spans="1:29" ht="19.95" customHeight="1" x14ac:dyDescent="0.3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spans="1:29" ht="19.95" customHeight="1" x14ac:dyDescent="0.3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spans="1:29" ht="19.95" customHeight="1" x14ac:dyDescent="0.3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spans="1:29" ht="19.95" customHeight="1" x14ac:dyDescent="0.3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spans="1:29" ht="19.95" customHeight="1" x14ac:dyDescent="0.3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spans="1:29" ht="19.95" customHeight="1" x14ac:dyDescent="0.3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spans="1:29" ht="19.95" customHeight="1" x14ac:dyDescent="0.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spans="1:29" ht="19.95" customHeight="1" x14ac:dyDescent="0.3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spans="1:29" ht="19.95" customHeight="1" x14ac:dyDescent="0.3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spans="1:29" ht="19.95" customHeight="1" x14ac:dyDescent="0.3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spans="1:29" ht="19.95" customHeight="1" x14ac:dyDescent="0.3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spans="1:29" ht="19.95" customHeight="1" x14ac:dyDescent="0.3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spans="1:29" ht="19.95" customHeight="1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spans="1:29" ht="19.95" customHeight="1" x14ac:dyDescent="0.3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spans="1:29" ht="19.95" customHeight="1" x14ac:dyDescent="0.3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spans="1:29" ht="19.95" customHeight="1" x14ac:dyDescent="0.3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spans="1:29" ht="19.95" customHeight="1" x14ac:dyDescent="0.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spans="1:29" ht="19.95" customHeight="1" x14ac:dyDescent="0.3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spans="1:29" ht="19.95" customHeight="1" x14ac:dyDescent="0.3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spans="1:29" ht="19.95" customHeight="1" x14ac:dyDescent="0.3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spans="1:29" ht="19.95" customHeight="1" x14ac:dyDescent="0.3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spans="1:29" ht="19.95" customHeight="1" x14ac:dyDescent="0.3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spans="1:29" ht="19.95" customHeight="1" x14ac:dyDescent="0.3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spans="1:29" ht="19.95" customHeight="1" x14ac:dyDescent="0.3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spans="1:29" ht="19.95" customHeight="1" x14ac:dyDescent="0.3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spans="1:29" ht="19.95" customHeight="1" x14ac:dyDescent="0.3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spans="1:29" ht="19.95" customHeight="1" x14ac:dyDescent="0.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spans="1:29" ht="19.95" customHeight="1" x14ac:dyDescent="0.3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spans="1:29" ht="19.95" customHeight="1" x14ac:dyDescent="0.3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spans="1:29" ht="19.95" customHeight="1" x14ac:dyDescent="0.3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spans="1:29" ht="19.95" customHeight="1" x14ac:dyDescent="0.3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spans="1:29" ht="19.95" customHeight="1" x14ac:dyDescent="0.3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spans="1:29" ht="19.95" customHeight="1" x14ac:dyDescent="0.3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spans="1:29" ht="19.95" customHeight="1" x14ac:dyDescent="0.3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spans="1:29" ht="19.95" customHeight="1" x14ac:dyDescent="0.3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spans="1:29" ht="19.95" customHeight="1" x14ac:dyDescent="0.3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spans="1:29" ht="19.95" customHeight="1" x14ac:dyDescent="0.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spans="1:29" ht="19.95" customHeight="1" x14ac:dyDescent="0.3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spans="1:29" ht="19.95" customHeight="1" x14ac:dyDescent="0.3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spans="1:29" ht="19.95" customHeight="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spans="1:29" ht="19.95" customHeight="1" x14ac:dyDescent="0.3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spans="1:29" ht="19.95" customHeight="1" x14ac:dyDescent="0.3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spans="1:29" ht="19.95" customHeight="1" x14ac:dyDescent="0.3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spans="1:29" ht="19.95" customHeight="1" x14ac:dyDescent="0.3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spans="1:29" ht="19.95" customHeight="1" x14ac:dyDescent="0.3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spans="1:29" ht="19.95" customHeight="1" x14ac:dyDescent="0.3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spans="1:29" ht="19.95" customHeight="1" x14ac:dyDescent="0.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spans="1:29" ht="19.95" customHeight="1" x14ac:dyDescent="0.3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spans="1:29" ht="19.95" customHeight="1" x14ac:dyDescent="0.3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spans="1:29" ht="19.95" customHeight="1" x14ac:dyDescent="0.3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spans="1:29" ht="19.95" customHeight="1" x14ac:dyDescent="0.3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spans="1:29" ht="19.95" customHeight="1" x14ac:dyDescent="0.3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spans="1:29" ht="19.95" customHeight="1" x14ac:dyDescent="0.3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spans="1:29" ht="19.95" customHeight="1" x14ac:dyDescent="0.3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spans="1:29" ht="19.95" customHeight="1" x14ac:dyDescent="0.3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spans="1:29" ht="19.95" customHeight="1" x14ac:dyDescent="0.3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spans="1:29" ht="19.95" customHeight="1" x14ac:dyDescent="0.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spans="1:29" ht="19.95" customHeight="1" x14ac:dyDescent="0.3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spans="1:29" ht="19.95" customHeight="1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spans="1:29" ht="19.95" customHeight="1" x14ac:dyDescent="0.3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spans="1:29" ht="19.95" customHeight="1" x14ac:dyDescent="0.3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spans="1:29" ht="19.95" customHeight="1" x14ac:dyDescent="0.3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spans="1:29" ht="19.95" customHeight="1" x14ac:dyDescent="0.3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spans="1:29" ht="19.95" customHeight="1" x14ac:dyDescent="0.3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spans="1:29" ht="19.95" customHeight="1" x14ac:dyDescent="0.3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spans="1:29" ht="19.95" customHeight="1" x14ac:dyDescent="0.3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spans="1:29" ht="19.95" customHeight="1" x14ac:dyDescent="0.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spans="1:29" ht="19.95" customHeight="1" x14ac:dyDescent="0.3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spans="1:29" ht="19.95" customHeight="1" x14ac:dyDescent="0.3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spans="1:29" ht="19.95" customHeight="1" x14ac:dyDescent="0.3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spans="1:29" ht="19.95" customHeight="1" x14ac:dyDescent="0.3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spans="1:29" ht="19.95" customHeight="1" x14ac:dyDescent="0.3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spans="1:29" ht="19.95" customHeight="1" x14ac:dyDescent="0.3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spans="1:29" ht="19.95" customHeight="1" x14ac:dyDescent="0.3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spans="1:29" ht="19.95" customHeight="1" x14ac:dyDescent="0.3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spans="1:29" ht="19.95" customHeight="1" x14ac:dyDescent="0.3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spans="1:29" ht="19.95" customHeight="1" x14ac:dyDescent="0.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spans="1:29" ht="19.95" customHeight="1" x14ac:dyDescent="0.3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spans="1:29" ht="19.95" customHeight="1" x14ac:dyDescent="0.3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spans="1:29" ht="19.95" customHeight="1" x14ac:dyDescent="0.3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spans="1:29" ht="19.95" customHeight="1" x14ac:dyDescent="0.3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spans="1:29" ht="19.95" customHeight="1" x14ac:dyDescent="0.3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spans="1:29" ht="19.95" customHeight="1" x14ac:dyDescent="0.3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spans="1:29" ht="19.95" customHeight="1" x14ac:dyDescent="0.3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spans="1:29" ht="19.95" customHeight="1" x14ac:dyDescent="0.3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spans="1:29" ht="19.95" customHeight="1" x14ac:dyDescent="0.3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spans="1:29" ht="19.95" customHeight="1" x14ac:dyDescent="0.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spans="1:29" ht="19.95" customHeight="1" x14ac:dyDescent="0.3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spans="1:29" ht="19.95" customHeight="1" x14ac:dyDescent="0.3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spans="1:29" ht="19.95" customHeight="1" x14ac:dyDescent="0.3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spans="1:29" ht="19.95" customHeight="1" x14ac:dyDescent="0.3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spans="1:29" ht="19.95" customHeight="1" x14ac:dyDescent="0.3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spans="1:29" ht="19.95" customHeight="1" x14ac:dyDescent="0.3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spans="1:29" ht="19.95" customHeight="1" x14ac:dyDescent="0.3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spans="1:29" ht="19.95" customHeight="1" x14ac:dyDescent="0.3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spans="1:29" ht="19.95" customHeight="1" x14ac:dyDescent="0.3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spans="1:29" ht="19.95" customHeight="1" x14ac:dyDescent="0.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spans="1:29" ht="19.95" customHeight="1" x14ac:dyDescent="0.3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spans="1:29" ht="19.95" customHeight="1" x14ac:dyDescent="0.3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spans="1:29" ht="19.95" customHeight="1" x14ac:dyDescent="0.3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spans="1:29" ht="19.95" customHeight="1" x14ac:dyDescent="0.3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spans="1:29" ht="19.95" customHeight="1" x14ac:dyDescent="0.3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spans="1:29" ht="19.95" customHeight="1" x14ac:dyDescent="0.3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spans="1:29" ht="19.95" customHeight="1" x14ac:dyDescent="0.3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spans="1:29" ht="19.95" customHeight="1" x14ac:dyDescent="0.3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spans="1:29" ht="19.95" customHeight="1" x14ac:dyDescent="0.3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spans="1:29" ht="19.95" customHeight="1" x14ac:dyDescent="0.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spans="1:29" ht="19.95" customHeight="1" x14ac:dyDescent="0.3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spans="1:29" ht="19.95" customHeight="1" x14ac:dyDescent="0.3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spans="1:29" ht="19.95" customHeight="1" x14ac:dyDescent="0.3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spans="1:29" ht="19.95" customHeight="1" x14ac:dyDescent="0.3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spans="1:29" ht="19.95" customHeight="1" x14ac:dyDescent="0.3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spans="1:29" ht="19.95" customHeight="1" x14ac:dyDescent="0.3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spans="1:29" ht="19.95" customHeight="1" x14ac:dyDescent="0.3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spans="1:29" ht="19.95" customHeight="1" x14ac:dyDescent="0.3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spans="1:29" ht="19.95" customHeight="1" x14ac:dyDescent="0.3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spans="1:29" ht="19.95" customHeight="1" x14ac:dyDescent="0.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spans="1:29" ht="19.95" customHeight="1" x14ac:dyDescent="0.3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spans="1:29" ht="19.95" customHeight="1" x14ac:dyDescent="0.3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spans="1:29" ht="19.95" customHeight="1" x14ac:dyDescent="0.3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spans="1:29" ht="19.95" customHeight="1" x14ac:dyDescent="0.3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spans="1:29" ht="19.95" customHeight="1" x14ac:dyDescent="0.3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spans="1:29" ht="19.95" customHeight="1" x14ac:dyDescent="0.3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spans="1:29" ht="19.95" customHeight="1" x14ac:dyDescent="0.3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spans="1:29" ht="19.95" customHeight="1" x14ac:dyDescent="0.3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spans="1:29" ht="19.95" customHeight="1" x14ac:dyDescent="0.3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spans="1:29" ht="19.95" customHeight="1" x14ac:dyDescent="0.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spans="1:29" ht="19.95" customHeight="1" x14ac:dyDescent="0.3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spans="1:29" ht="19.95" customHeight="1" x14ac:dyDescent="0.3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spans="1:29" ht="19.95" customHeight="1" x14ac:dyDescent="0.3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spans="1:29" ht="19.95" customHeight="1" x14ac:dyDescent="0.3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spans="1:29" ht="19.95" customHeight="1" x14ac:dyDescent="0.3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spans="1:29" ht="19.95" customHeight="1" x14ac:dyDescent="0.3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spans="1:29" ht="19.95" customHeight="1" x14ac:dyDescent="0.3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spans="1:29" ht="19.95" customHeight="1" x14ac:dyDescent="0.3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spans="1:29" ht="19.95" customHeight="1" x14ac:dyDescent="0.3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spans="1:29" ht="19.95" customHeight="1" x14ac:dyDescent="0.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spans="1:29" ht="19.95" customHeight="1" x14ac:dyDescent="0.3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spans="1:29" ht="19.95" customHeight="1" x14ac:dyDescent="0.3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spans="1:29" ht="19.95" customHeight="1" x14ac:dyDescent="0.3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spans="1:29" ht="19.95" customHeight="1" x14ac:dyDescent="0.3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spans="1:29" ht="19.95" customHeight="1" x14ac:dyDescent="0.3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spans="1:29" ht="19.95" customHeight="1" x14ac:dyDescent="0.3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spans="1:29" ht="19.95" customHeight="1" x14ac:dyDescent="0.3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spans="1:29" ht="19.95" customHeight="1" x14ac:dyDescent="0.3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spans="1:29" ht="19.95" customHeight="1" x14ac:dyDescent="0.3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spans="1:29" ht="19.95" customHeight="1" x14ac:dyDescent="0.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spans="1:29" ht="19.95" customHeight="1" x14ac:dyDescent="0.3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spans="1:29" ht="19.95" customHeight="1" x14ac:dyDescent="0.3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spans="1:29" ht="19.95" customHeight="1" x14ac:dyDescent="0.3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spans="1:29" ht="19.95" customHeight="1" x14ac:dyDescent="0.3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spans="1:29" ht="19.95" customHeight="1" x14ac:dyDescent="0.3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spans="1:29" ht="19.95" customHeight="1" x14ac:dyDescent="0.3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spans="1:29" ht="19.95" customHeight="1" x14ac:dyDescent="0.3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spans="1:29" ht="19.95" customHeight="1" x14ac:dyDescent="0.3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spans="1:29" ht="19.95" customHeight="1" x14ac:dyDescent="0.3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spans="1:29" ht="19.95" customHeight="1" x14ac:dyDescent="0.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spans="1:29" ht="19.95" customHeight="1" x14ac:dyDescent="0.3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spans="1:29" ht="19.95" customHeight="1" x14ac:dyDescent="0.3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spans="1:29" ht="19.95" customHeight="1" x14ac:dyDescent="0.3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spans="1:29" ht="19.95" customHeight="1" x14ac:dyDescent="0.3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spans="1:29" ht="19.95" customHeight="1" x14ac:dyDescent="0.3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spans="1:29" ht="19.95" customHeight="1" x14ac:dyDescent="0.3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spans="1:29" ht="19.95" customHeight="1" x14ac:dyDescent="0.3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spans="1:29" ht="19.95" customHeight="1" x14ac:dyDescent="0.3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spans="1:29" ht="19.95" customHeight="1" x14ac:dyDescent="0.3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spans="1:29" ht="19.95" customHeight="1" x14ac:dyDescent="0.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spans="1:29" ht="19.95" customHeight="1" x14ac:dyDescent="0.3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spans="1:29" ht="19.95" customHeight="1" x14ac:dyDescent="0.3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spans="1:29" ht="19.95" customHeight="1" x14ac:dyDescent="0.3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spans="1:29" ht="19.95" customHeight="1" x14ac:dyDescent="0.3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spans="1:29" ht="19.95" customHeight="1" x14ac:dyDescent="0.3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spans="1:29" ht="19.95" customHeight="1" x14ac:dyDescent="0.3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spans="1:29" ht="19.95" customHeight="1" x14ac:dyDescent="0.3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spans="1:29" ht="19.95" customHeight="1" x14ac:dyDescent="0.3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spans="1:29" ht="19.95" customHeight="1" x14ac:dyDescent="0.3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spans="1:29" ht="19.95" customHeight="1" x14ac:dyDescent="0.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spans="1:29" ht="19.95" customHeight="1" x14ac:dyDescent="0.3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spans="1:29" ht="19.95" customHeight="1" x14ac:dyDescent="0.3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spans="1:29" ht="19.95" customHeight="1" x14ac:dyDescent="0.3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spans="1:29" ht="19.95" customHeight="1" x14ac:dyDescent="0.3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spans="1:29" ht="19.95" customHeight="1" x14ac:dyDescent="0.3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spans="1:29" ht="19.95" customHeight="1" x14ac:dyDescent="0.3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spans="1:29" ht="19.95" customHeight="1" x14ac:dyDescent="0.3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spans="1:29" ht="19.95" customHeight="1" x14ac:dyDescent="0.3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spans="1:29" ht="19.95" customHeight="1" x14ac:dyDescent="0.3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spans="1:29" ht="19.95" customHeight="1" x14ac:dyDescent="0.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spans="1:29" ht="19.95" customHeight="1" x14ac:dyDescent="0.3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spans="1:29" ht="19.95" customHeight="1" x14ac:dyDescent="0.3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spans="1:29" ht="19.95" customHeight="1" x14ac:dyDescent="0.3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spans="1:29" ht="19.95" customHeight="1" x14ac:dyDescent="0.3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spans="1:29" ht="19.95" customHeight="1" x14ac:dyDescent="0.3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spans="1:29" ht="19.95" customHeight="1" x14ac:dyDescent="0.3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spans="1:29" ht="19.95" customHeight="1" x14ac:dyDescent="0.3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spans="1:29" ht="19.95" customHeight="1" x14ac:dyDescent="0.3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spans="1:29" ht="19.95" customHeight="1" x14ac:dyDescent="0.3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spans="1:29" ht="19.95" customHeight="1" x14ac:dyDescent="0.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spans="1:29" ht="19.95" customHeight="1" x14ac:dyDescent="0.3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spans="1:29" ht="19.95" customHeight="1" x14ac:dyDescent="0.3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spans="1:29" ht="19.95" customHeight="1" x14ac:dyDescent="0.3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spans="1:29" ht="19.95" customHeight="1" x14ac:dyDescent="0.3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spans="1:29" ht="19.95" customHeight="1" x14ac:dyDescent="0.3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spans="1:29" ht="19.95" customHeight="1" x14ac:dyDescent="0.3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spans="1:29" ht="19.95" customHeight="1" x14ac:dyDescent="0.3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spans="1:29" ht="19.95" customHeight="1" x14ac:dyDescent="0.3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spans="1:29" ht="19.95" customHeight="1" x14ac:dyDescent="0.3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spans="1:29" ht="19.95" customHeight="1" x14ac:dyDescent="0.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spans="1:29" ht="19.95" customHeight="1" x14ac:dyDescent="0.3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spans="1:29" ht="19.95" customHeight="1" x14ac:dyDescent="0.3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spans="1:29" ht="19.95" customHeight="1" x14ac:dyDescent="0.3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spans="1:29" ht="19.95" customHeight="1" x14ac:dyDescent="0.3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spans="1:29" ht="19.95" customHeight="1" x14ac:dyDescent="0.3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spans="1:29" ht="19.95" customHeight="1" x14ac:dyDescent="0.3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spans="1:29" ht="19.95" customHeight="1" x14ac:dyDescent="0.3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spans="1:29" ht="19.95" customHeight="1" x14ac:dyDescent="0.3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spans="1:29" ht="19.95" customHeight="1" x14ac:dyDescent="0.3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spans="1:29" ht="19.95" customHeight="1" x14ac:dyDescent="0.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spans="1:29" ht="19.95" customHeight="1" x14ac:dyDescent="0.3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spans="1:29" ht="19.95" customHeight="1" x14ac:dyDescent="0.3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spans="1:29" ht="19.95" customHeight="1" x14ac:dyDescent="0.3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spans="1:29" ht="19.95" customHeight="1" x14ac:dyDescent="0.3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spans="1:29" ht="19.95" customHeight="1" x14ac:dyDescent="0.3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spans="1:29" ht="19.95" customHeight="1" x14ac:dyDescent="0.3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spans="1:29" ht="19.95" customHeight="1" x14ac:dyDescent="0.3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spans="1:29" ht="19.95" customHeight="1" x14ac:dyDescent="0.3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spans="1:29" ht="19.95" customHeight="1" x14ac:dyDescent="0.3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spans="1:29" ht="19.95" customHeight="1" x14ac:dyDescent="0.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spans="1:29" ht="19.95" customHeight="1" x14ac:dyDescent="0.3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spans="1:29" ht="19.95" customHeight="1" x14ac:dyDescent="0.3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spans="1:29" ht="19.95" customHeight="1" x14ac:dyDescent="0.3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spans="1:29" ht="19.95" customHeight="1" x14ac:dyDescent="0.3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spans="1:29" ht="19.95" customHeight="1" x14ac:dyDescent="0.3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spans="1:29" ht="19.95" customHeight="1" x14ac:dyDescent="0.3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spans="1:29" ht="19.95" customHeight="1" x14ac:dyDescent="0.3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spans="1:29" ht="19.95" customHeight="1" x14ac:dyDescent="0.3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spans="1:29" ht="19.95" customHeight="1" x14ac:dyDescent="0.3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spans="1:29" ht="19.95" customHeight="1" x14ac:dyDescent="0.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spans="1:29" ht="19.95" customHeight="1" x14ac:dyDescent="0.3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spans="1:29" ht="19.95" customHeight="1" x14ac:dyDescent="0.3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spans="1:29" ht="19.95" customHeight="1" x14ac:dyDescent="0.3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spans="1:29" ht="19.95" customHeight="1" x14ac:dyDescent="0.3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spans="1:29" ht="19.95" customHeight="1" x14ac:dyDescent="0.3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spans="1:29" ht="19.95" customHeight="1" x14ac:dyDescent="0.3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spans="1:29" ht="19.95" customHeight="1" x14ac:dyDescent="0.3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spans="1:29" ht="19.95" customHeight="1" x14ac:dyDescent="0.3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spans="1:29" ht="19.95" customHeight="1" x14ac:dyDescent="0.3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spans="1:29" ht="19.95" customHeight="1" x14ac:dyDescent="0.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spans="1:29" ht="19.95" customHeight="1" x14ac:dyDescent="0.3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spans="1:29" ht="19.95" customHeight="1" x14ac:dyDescent="0.3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spans="1:29" ht="19.95" customHeight="1" x14ac:dyDescent="0.3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spans="1:29" ht="19.95" customHeight="1" x14ac:dyDescent="0.3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spans="1:29" ht="19.95" customHeight="1" x14ac:dyDescent="0.3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spans="1:29" ht="19.95" customHeight="1" x14ac:dyDescent="0.3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spans="1:29" ht="19.95" customHeight="1" x14ac:dyDescent="0.3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spans="1:29" ht="19.95" customHeight="1" x14ac:dyDescent="0.3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spans="1:29" ht="19.95" customHeight="1" x14ac:dyDescent="0.3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spans="1:29" ht="19.95" customHeight="1" x14ac:dyDescent="0.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spans="1:29" ht="19.95" customHeight="1" x14ac:dyDescent="0.3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spans="1:29" ht="19.95" customHeight="1" x14ac:dyDescent="0.3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spans="1:29" ht="19.95" customHeight="1" x14ac:dyDescent="0.3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spans="1:29" ht="19.95" customHeight="1" x14ac:dyDescent="0.3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spans="1:29" ht="19.95" customHeight="1" x14ac:dyDescent="0.3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spans="1:29" ht="19.95" customHeight="1" x14ac:dyDescent="0.3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spans="1:29" ht="19.95" customHeight="1" x14ac:dyDescent="0.3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spans="1:29" ht="19.95" customHeight="1" x14ac:dyDescent="0.3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spans="1:29" ht="19.95" customHeight="1" x14ac:dyDescent="0.3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spans="1:29" ht="19.95" customHeight="1" x14ac:dyDescent="0.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spans="1:29" ht="19.95" customHeight="1" x14ac:dyDescent="0.3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spans="1:29" ht="19.95" customHeight="1" x14ac:dyDescent="0.3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spans="1:29" ht="19.95" customHeight="1" x14ac:dyDescent="0.3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spans="1:29" ht="19.95" customHeight="1" x14ac:dyDescent="0.3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spans="1:29" ht="19.95" customHeight="1" x14ac:dyDescent="0.3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spans="1:29" ht="19.95" customHeight="1" x14ac:dyDescent="0.3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spans="1:29" ht="19.95" customHeight="1" x14ac:dyDescent="0.3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spans="1:29" ht="19.95" customHeight="1" x14ac:dyDescent="0.3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spans="1:29" ht="19.95" customHeight="1" x14ac:dyDescent="0.3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spans="1:29" ht="19.95" customHeight="1" x14ac:dyDescent="0.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spans="1:29" ht="19.95" customHeight="1" x14ac:dyDescent="0.3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spans="1:29" ht="19.95" customHeight="1" x14ac:dyDescent="0.3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spans="1:29" ht="19.95" customHeight="1" x14ac:dyDescent="0.3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spans="1:29" ht="19.95" customHeight="1" x14ac:dyDescent="0.3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spans="1:29" ht="19.95" customHeight="1" x14ac:dyDescent="0.3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spans="1:29" ht="19.95" customHeight="1" x14ac:dyDescent="0.3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spans="1:29" ht="19.95" customHeight="1" x14ac:dyDescent="0.3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spans="1:29" ht="19.95" customHeight="1" x14ac:dyDescent="0.3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spans="1:29" ht="19.95" customHeight="1" x14ac:dyDescent="0.3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spans="1:29" ht="19.95" customHeight="1" x14ac:dyDescent="0.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spans="1:29" ht="19.95" customHeight="1" x14ac:dyDescent="0.3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spans="1:29" ht="19.95" customHeight="1" x14ac:dyDescent="0.3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spans="1:29" ht="19.95" customHeight="1" x14ac:dyDescent="0.3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spans="1:29" ht="19.95" customHeight="1" x14ac:dyDescent="0.3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spans="1:29" ht="19.95" customHeight="1" x14ac:dyDescent="0.3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spans="1:29" ht="19.95" customHeight="1" x14ac:dyDescent="0.3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spans="1:29" ht="19.95" customHeight="1" x14ac:dyDescent="0.3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spans="1:29" ht="19.95" customHeight="1" x14ac:dyDescent="0.3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spans="1:29" ht="19.95" customHeight="1" x14ac:dyDescent="0.3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spans="1:29" ht="19.95" customHeight="1" x14ac:dyDescent="0.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spans="1:29" ht="19.95" customHeight="1" x14ac:dyDescent="0.3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spans="1:29" ht="19.95" customHeight="1" x14ac:dyDescent="0.3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spans="1:29" ht="19.95" customHeight="1" x14ac:dyDescent="0.3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spans="1:29" ht="19.95" customHeight="1" x14ac:dyDescent="0.3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spans="1:29" ht="19.95" customHeight="1" x14ac:dyDescent="0.3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spans="1:29" ht="19.95" customHeight="1" x14ac:dyDescent="0.3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spans="1:29" ht="19.95" customHeight="1" x14ac:dyDescent="0.3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spans="1:29" ht="19.95" customHeight="1" x14ac:dyDescent="0.3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spans="1:29" ht="19.95" customHeight="1" x14ac:dyDescent="0.3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spans="1:29" ht="19.95" customHeight="1" x14ac:dyDescent="0.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spans="1:29" ht="19.95" customHeight="1" x14ac:dyDescent="0.3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spans="1:29" ht="19.95" customHeight="1" x14ac:dyDescent="0.3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spans="1:29" ht="19.95" customHeight="1" x14ac:dyDescent="0.3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spans="1:29" ht="19.95" customHeight="1" x14ac:dyDescent="0.3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spans="1:29" ht="19.95" customHeight="1" x14ac:dyDescent="0.3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spans="1:29" ht="19.95" customHeight="1" x14ac:dyDescent="0.3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spans="1:29" ht="19.95" customHeight="1" x14ac:dyDescent="0.3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spans="1:29" ht="19.95" customHeight="1" x14ac:dyDescent="0.3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spans="1:29" ht="19.95" customHeight="1" x14ac:dyDescent="0.3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spans="1:29" ht="19.95" customHeight="1" x14ac:dyDescent="0.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spans="1:29" ht="19.95" customHeight="1" x14ac:dyDescent="0.3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spans="1:29" ht="19.95" customHeight="1" x14ac:dyDescent="0.3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spans="1:29" ht="19.95" customHeight="1" x14ac:dyDescent="0.3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spans="1:29" ht="19.95" customHeight="1" x14ac:dyDescent="0.3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spans="1:29" ht="19.95" customHeight="1" x14ac:dyDescent="0.3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spans="1:29" ht="19.95" customHeight="1" x14ac:dyDescent="0.3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spans="1:29" ht="19.95" customHeight="1" x14ac:dyDescent="0.3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spans="1:29" ht="19.95" customHeight="1" x14ac:dyDescent="0.3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spans="1:29" ht="19.95" customHeight="1" x14ac:dyDescent="0.3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spans="1:29" ht="19.95" customHeight="1" x14ac:dyDescent="0.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spans="1:29" ht="19.95" customHeight="1" x14ac:dyDescent="0.3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spans="1:29" ht="19.95" customHeight="1" x14ac:dyDescent="0.3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spans="1:29" ht="19.95" customHeight="1" x14ac:dyDescent="0.3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spans="1:29" ht="19.95" customHeight="1" x14ac:dyDescent="0.3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spans="1:29" ht="19.95" customHeight="1" x14ac:dyDescent="0.3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spans="1:29" ht="19.95" customHeight="1" x14ac:dyDescent="0.3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spans="1:29" ht="19.95" customHeight="1" x14ac:dyDescent="0.3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spans="1:29" ht="19.95" customHeight="1" x14ac:dyDescent="0.3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spans="1:29" ht="19.95" customHeight="1" x14ac:dyDescent="0.3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spans="1:29" ht="19.95" customHeight="1" x14ac:dyDescent="0.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spans="1:29" ht="19.95" customHeight="1" x14ac:dyDescent="0.3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spans="1:29" ht="19.95" customHeight="1" x14ac:dyDescent="0.3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spans="1:29" ht="19.95" customHeight="1" x14ac:dyDescent="0.3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spans="1:29" ht="19.95" customHeight="1" x14ac:dyDescent="0.3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spans="1:29" ht="19.95" customHeight="1" x14ac:dyDescent="0.3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spans="1:29" ht="19.95" customHeight="1" x14ac:dyDescent="0.3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spans="1:29" ht="19.95" customHeight="1" x14ac:dyDescent="0.3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spans="1:29" ht="19.95" customHeight="1" x14ac:dyDescent="0.3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spans="1:29" ht="19.95" customHeight="1" x14ac:dyDescent="0.3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spans="1:29" ht="19.95" customHeight="1" x14ac:dyDescent="0.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spans="1:29" ht="19.95" customHeight="1" x14ac:dyDescent="0.3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spans="1:29" ht="19.95" customHeight="1" x14ac:dyDescent="0.3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spans="1:29" ht="19.95" customHeight="1" x14ac:dyDescent="0.3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spans="1:29" ht="19.95" customHeight="1" x14ac:dyDescent="0.3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spans="1:29" ht="19.95" customHeight="1" x14ac:dyDescent="0.3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spans="1:29" ht="19.95" customHeight="1" x14ac:dyDescent="0.3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spans="1:29" ht="19.95" customHeight="1" x14ac:dyDescent="0.3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spans="1:29" ht="19.95" customHeight="1" x14ac:dyDescent="0.3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spans="1:29" ht="19.95" customHeight="1" x14ac:dyDescent="0.3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spans="1:29" ht="19.95" customHeight="1" x14ac:dyDescent="0.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spans="1:29" ht="19.95" customHeight="1" x14ac:dyDescent="0.3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spans="1:29" ht="19.95" customHeight="1" x14ac:dyDescent="0.3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spans="1:29" ht="19.95" customHeight="1" x14ac:dyDescent="0.3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spans="1:29" ht="19.95" customHeight="1" x14ac:dyDescent="0.3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spans="1:29" ht="19.95" customHeight="1" x14ac:dyDescent="0.3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spans="1:29" ht="19.95" customHeight="1" x14ac:dyDescent="0.3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spans="1:29" ht="19.95" customHeight="1" x14ac:dyDescent="0.3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spans="1:29" ht="19.95" customHeight="1" x14ac:dyDescent="0.3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spans="1:29" ht="19.95" customHeight="1" x14ac:dyDescent="0.3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spans="1:29" ht="19.95" customHeight="1" x14ac:dyDescent="0.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spans="1:29" ht="19.95" customHeight="1" x14ac:dyDescent="0.3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spans="1:29" ht="19.95" customHeight="1" x14ac:dyDescent="0.3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spans="1:29" ht="19.95" customHeight="1" x14ac:dyDescent="0.3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spans="1:29" ht="19.95" customHeight="1" x14ac:dyDescent="0.3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spans="1:29" ht="19.95" customHeight="1" x14ac:dyDescent="0.3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spans="1:29" ht="19.95" customHeight="1" x14ac:dyDescent="0.3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spans="1:29" ht="19.95" customHeight="1" x14ac:dyDescent="0.3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spans="1:29" ht="19.95" customHeight="1" x14ac:dyDescent="0.3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spans="1:29" ht="19.95" customHeight="1" x14ac:dyDescent="0.3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spans="1:29" ht="19.95" customHeight="1" x14ac:dyDescent="0.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spans="1:29" ht="19.95" customHeight="1" x14ac:dyDescent="0.3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spans="1:29" ht="19.95" customHeight="1" x14ac:dyDescent="0.3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spans="1:29" ht="19.95" customHeight="1" x14ac:dyDescent="0.3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spans="1:29" ht="19.95" customHeight="1" x14ac:dyDescent="0.3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spans="1:29" ht="19.95" customHeight="1" x14ac:dyDescent="0.3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spans="1:29" ht="19.95" customHeight="1" x14ac:dyDescent="0.3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spans="1:29" ht="19.95" customHeight="1" x14ac:dyDescent="0.3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spans="1:29" ht="19.95" customHeight="1" x14ac:dyDescent="0.3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spans="1:29" ht="19.95" customHeight="1" x14ac:dyDescent="0.3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spans="1:29" ht="19.95" customHeight="1" x14ac:dyDescent="0.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spans="1:29" ht="19.95" customHeight="1" x14ac:dyDescent="0.3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spans="1:29" ht="19.95" customHeight="1" x14ac:dyDescent="0.3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spans="1:29" ht="19.95" customHeight="1" x14ac:dyDescent="0.3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spans="1:29" ht="19.95" customHeight="1" x14ac:dyDescent="0.3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spans="1:29" ht="19.95" customHeight="1" x14ac:dyDescent="0.3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spans="1:29" ht="19.95" customHeight="1" x14ac:dyDescent="0.3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spans="1:29" ht="19.95" customHeight="1" x14ac:dyDescent="0.3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spans="1:29" ht="19.95" customHeight="1" x14ac:dyDescent="0.3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spans="1:29" ht="19.95" customHeight="1" x14ac:dyDescent="0.3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spans="1:29" ht="19.95" customHeight="1" x14ac:dyDescent="0.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spans="1:29" ht="19.95" customHeight="1" x14ac:dyDescent="0.3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spans="1:29" ht="19.95" customHeight="1" x14ac:dyDescent="0.3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spans="1:29" ht="19.95" customHeight="1" x14ac:dyDescent="0.3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spans="1:29" ht="19.95" customHeight="1" x14ac:dyDescent="0.3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spans="1:29" ht="19.95" customHeight="1" x14ac:dyDescent="0.3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spans="1:29" ht="19.95" customHeight="1" x14ac:dyDescent="0.3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spans="1:29" ht="19.95" customHeight="1" x14ac:dyDescent="0.3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spans="1:29" ht="19.95" customHeight="1" x14ac:dyDescent="0.3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spans="1:29" ht="19.95" customHeight="1" x14ac:dyDescent="0.3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spans="1:29" ht="19.95" customHeight="1" x14ac:dyDescent="0.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spans="1:29" ht="19.95" customHeight="1" x14ac:dyDescent="0.3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spans="1:29" ht="19.95" customHeight="1" x14ac:dyDescent="0.3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spans="1:29" ht="19.95" customHeight="1" x14ac:dyDescent="0.3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spans="1:29" ht="19.95" customHeight="1" x14ac:dyDescent="0.3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spans="1:29" ht="19.95" customHeight="1" x14ac:dyDescent="0.3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spans="1:29" ht="19.95" customHeight="1" x14ac:dyDescent="0.3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spans="1:29" ht="19.95" customHeight="1" x14ac:dyDescent="0.3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spans="1:29" ht="19.95" customHeight="1" x14ac:dyDescent="0.3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spans="1:29" ht="19.95" customHeight="1" x14ac:dyDescent="0.3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spans="1:29" ht="19.95" customHeight="1" x14ac:dyDescent="0.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spans="1:29" ht="19.95" customHeight="1" x14ac:dyDescent="0.3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spans="1:29" ht="19.95" customHeight="1" x14ac:dyDescent="0.3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spans="1:29" ht="19.95" customHeight="1" x14ac:dyDescent="0.3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spans="1:29" ht="19.95" customHeight="1" x14ac:dyDescent="0.3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spans="1:29" ht="19.95" customHeight="1" x14ac:dyDescent="0.3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spans="1:29" ht="19.95" customHeight="1" x14ac:dyDescent="0.3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spans="1:29" ht="19.95" customHeight="1" x14ac:dyDescent="0.3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spans="1:29" ht="19.95" customHeight="1" x14ac:dyDescent="0.3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spans="1:29" ht="19.95" customHeight="1" x14ac:dyDescent="0.3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spans="1:29" ht="19.95" customHeight="1" x14ac:dyDescent="0.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spans="1:29" ht="19.95" customHeight="1" x14ac:dyDescent="0.3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spans="1:29" ht="19.95" customHeight="1" x14ac:dyDescent="0.3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spans="1:29" ht="19.95" customHeight="1" x14ac:dyDescent="0.3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spans="1:29" ht="19.95" customHeight="1" x14ac:dyDescent="0.3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spans="1:29" ht="19.95" customHeight="1" x14ac:dyDescent="0.3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spans="1:29" ht="19.95" customHeight="1" x14ac:dyDescent="0.3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spans="1:29" ht="19.95" customHeight="1" x14ac:dyDescent="0.3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spans="1:29" ht="19.95" customHeight="1" x14ac:dyDescent="0.3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spans="1:29" ht="19.95" customHeight="1" x14ac:dyDescent="0.3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spans="1:29" ht="19.95" customHeight="1" x14ac:dyDescent="0.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spans="1:29" ht="19.95" customHeight="1" x14ac:dyDescent="0.3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spans="1:29" ht="19.95" customHeight="1" x14ac:dyDescent="0.3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spans="1:29" ht="19.95" customHeight="1" x14ac:dyDescent="0.3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spans="1:29" ht="19.95" customHeight="1" x14ac:dyDescent="0.3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spans="1:29" ht="19.95" customHeight="1" x14ac:dyDescent="0.3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spans="1:29" ht="19.95" customHeight="1" x14ac:dyDescent="0.3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spans="1:29" ht="19.95" customHeight="1" x14ac:dyDescent="0.3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spans="1:29" ht="19.95" customHeight="1" x14ac:dyDescent="0.3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spans="1:29" ht="19.95" customHeight="1" x14ac:dyDescent="0.3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spans="1:29" ht="19.95" customHeight="1" x14ac:dyDescent="0.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spans="1:29" ht="19.95" customHeight="1" x14ac:dyDescent="0.3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spans="1:29" ht="19.95" customHeight="1" x14ac:dyDescent="0.3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spans="1:29" ht="19.95" customHeight="1" x14ac:dyDescent="0.3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spans="1:29" ht="19.95" customHeight="1" x14ac:dyDescent="0.3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spans="1:29" ht="19.95" customHeight="1" x14ac:dyDescent="0.3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spans="1:29" ht="19.95" customHeight="1" x14ac:dyDescent="0.3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spans="1:29" ht="19.95" customHeight="1" x14ac:dyDescent="0.3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spans="1:29" ht="19.95" customHeight="1" x14ac:dyDescent="0.3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spans="1:29" ht="19.95" customHeight="1" x14ac:dyDescent="0.3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spans="1:29" ht="19.95" customHeight="1" x14ac:dyDescent="0.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spans="1:29" ht="19.95" customHeight="1" x14ac:dyDescent="0.3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spans="1:29" ht="19.95" customHeight="1" x14ac:dyDescent="0.3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spans="1:29" ht="19.95" customHeight="1" x14ac:dyDescent="0.3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spans="1:29" ht="19.95" customHeight="1" x14ac:dyDescent="0.3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spans="1:29" ht="19.95" customHeight="1" x14ac:dyDescent="0.3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spans="1:29" ht="19.95" customHeight="1" x14ac:dyDescent="0.3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spans="1:29" ht="19.95" customHeight="1" x14ac:dyDescent="0.3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spans="1:29" ht="19.95" customHeight="1" x14ac:dyDescent="0.3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spans="1:29" ht="19.95" customHeight="1" x14ac:dyDescent="0.3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spans="1:29" ht="19.95" customHeight="1" x14ac:dyDescent="0.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spans="1:29" ht="19.95" customHeight="1" x14ac:dyDescent="0.3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spans="1:29" ht="19.95" customHeight="1" x14ac:dyDescent="0.3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spans="1:29" ht="19.95" customHeight="1" x14ac:dyDescent="0.3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spans="1:29" ht="19.95" customHeight="1" x14ac:dyDescent="0.3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spans="1:29" ht="19.95" customHeight="1" x14ac:dyDescent="0.3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spans="1:29" ht="19.95" customHeight="1" x14ac:dyDescent="0.3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spans="1:29" ht="19.95" customHeight="1" x14ac:dyDescent="0.3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spans="1:29" ht="19.95" customHeight="1" x14ac:dyDescent="0.3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spans="1:29" ht="19.95" customHeight="1" x14ac:dyDescent="0.3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spans="1:29" ht="19.95" customHeight="1" x14ac:dyDescent="0.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spans="1:29" ht="19.95" customHeight="1" x14ac:dyDescent="0.3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spans="1:29" ht="19.95" customHeight="1" x14ac:dyDescent="0.3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spans="1:29" ht="19.95" customHeight="1" x14ac:dyDescent="0.3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spans="1:29" ht="19.95" customHeight="1" x14ac:dyDescent="0.3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spans="1:29" ht="19.95" customHeight="1" x14ac:dyDescent="0.3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spans="1:29" ht="19.95" customHeight="1" x14ac:dyDescent="0.3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spans="1:29" ht="19.95" customHeight="1" x14ac:dyDescent="0.3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spans="1:29" ht="19.95" customHeight="1" x14ac:dyDescent="0.3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spans="1:29" ht="19.95" customHeight="1" x14ac:dyDescent="0.3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spans="1:29" ht="19.95" customHeight="1" x14ac:dyDescent="0.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spans="1:29" ht="19.95" customHeight="1" x14ac:dyDescent="0.3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spans="1:29" ht="19.95" customHeight="1" x14ac:dyDescent="0.3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spans="1:29" ht="19.95" customHeight="1" x14ac:dyDescent="0.3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spans="1:29" ht="19.95" customHeight="1" x14ac:dyDescent="0.3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spans="1:29" ht="19.95" customHeight="1" x14ac:dyDescent="0.3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spans="1:29" ht="19.95" customHeight="1" x14ac:dyDescent="0.3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spans="1:29" ht="19.95" customHeight="1" x14ac:dyDescent="0.3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spans="1:29" ht="19.95" customHeight="1" x14ac:dyDescent="0.3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spans="1:29" ht="19.95" customHeight="1" x14ac:dyDescent="0.3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spans="1:29" ht="19.95" customHeight="1" x14ac:dyDescent="0.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spans="1:29" ht="19.95" customHeight="1" x14ac:dyDescent="0.3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spans="1:29" ht="19.95" customHeight="1" x14ac:dyDescent="0.3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spans="1:29" ht="19.95" customHeight="1" x14ac:dyDescent="0.3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spans="1:29" ht="19.95" customHeight="1" x14ac:dyDescent="0.3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spans="1:29" ht="19.95" customHeight="1" x14ac:dyDescent="0.3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spans="1:29" ht="19.95" customHeight="1" x14ac:dyDescent="0.3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spans="1:29" ht="19.95" customHeight="1" x14ac:dyDescent="0.3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spans="1:29" ht="19.95" customHeight="1" x14ac:dyDescent="0.3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spans="1:29" ht="19.95" customHeight="1" x14ac:dyDescent="0.3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spans="1:29" ht="19.95" customHeight="1" x14ac:dyDescent="0.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spans="1:29" ht="19.95" customHeight="1" x14ac:dyDescent="0.3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spans="1:29" ht="19.95" customHeight="1" x14ac:dyDescent="0.3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spans="1:29" ht="19.95" customHeight="1" x14ac:dyDescent="0.3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spans="1:29" ht="19.95" customHeight="1" x14ac:dyDescent="0.3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spans="1:29" ht="19.95" customHeight="1" x14ac:dyDescent="0.3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spans="1:29" ht="19.95" customHeight="1" x14ac:dyDescent="0.3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spans="1:29" ht="19.95" customHeight="1" x14ac:dyDescent="0.3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spans="1:29" ht="19.95" customHeight="1" x14ac:dyDescent="0.3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spans="1:29" ht="19.95" customHeight="1" x14ac:dyDescent="0.3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spans="1:29" ht="19.95" customHeight="1" x14ac:dyDescent="0.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spans="1:29" ht="19.95" customHeight="1" x14ac:dyDescent="0.3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spans="1:29" ht="19.95" customHeight="1" x14ac:dyDescent="0.3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spans="1:29" ht="19.95" customHeight="1" x14ac:dyDescent="0.3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spans="1:29" ht="19.95" customHeight="1" x14ac:dyDescent="0.3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spans="1:29" ht="19.95" customHeight="1" x14ac:dyDescent="0.3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spans="1:29" ht="19.95" customHeight="1" x14ac:dyDescent="0.3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spans="1:29" ht="19.95" customHeight="1" x14ac:dyDescent="0.3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spans="1:29" ht="19.95" customHeight="1" x14ac:dyDescent="0.3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spans="1:29" ht="19.95" customHeight="1" x14ac:dyDescent="0.3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spans="1:29" ht="19.95" customHeight="1" x14ac:dyDescent="0.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spans="1:29" ht="19.95" customHeight="1" x14ac:dyDescent="0.3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spans="1:29" ht="19.95" customHeight="1" x14ac:dyDescent="0.3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spans="1:29" ht="19.95" customHeight="1" x14ac:dyDescent="0.3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spans="1:29" ht="19.95" customHeight="1" x14ac:dyDescent="0.3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spans="1:29" ht="19.95" customHeight="1" x14ac:dyDescent="0.3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spans="1:29" ht="19.95" customHeight="1" x14ac:dyDescent="0.3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spans="1:29" ht="19.95" customHeight="1" x14ac:dyDescent="0.3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spans="1:29" ht="19.95" customHeight="1" x14ac:dyDescent="0.3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spans="1:29" ht="19.95" customHeight="1" x14ac:dyDescent="0.3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spans="1:29" ht="19.95" customHeight="1" x14ac:dyDescent="0.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spans="1:29" ht="19.95" customHeight="1" x14ac:dyDescent="0.3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spans="1:29" ht="19.95" customHeight="1" x14ac:dyDescent="0.3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spans="1:29" ht="19.95" customHeight="1" x14ac:dyDescent="0.3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spans="1:29" ht="19.95" customHeight="1" x14ac:dyDescent="0.3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spans="1:29" ht="19.95" customHeight="1" x14ac:dyDescent="0.3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spans="1:29" ht="19.95" customHeight="1" x14ac:dyDescent="0.3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spans="1:29" ht="19.95" customHeight="1" x14ac:dyDescent="0.3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spans="1:29" ht="19.95" customHeight="1" x14ac:dyDescent="0.3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spans="1:29" ht="19.95" customHeight="1" x14ac:dyDescent="0.3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spans="1:29" ht="19.95" customHeight="1" x14ac:dyDescent="0.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spans="1:29" ht="19.95" customHeight="1" x14ac:dyDescent="0.3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spans="1:29" ht="19.95" customHeight="1" x14ac:dyDescent="0.3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spans="1:29" ht="19.95" customHeight="1" x14ac:dyDescent="0.3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spans="1:29" ht="19.95" customHeight="1" x14ac:dyDescent="0.3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spans="1:29" ht="19.95" customHeight="1" x14ac:dyDescent="0.3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spans="1:29" ht="19.95" customHeight="1" x14ac:dyDescent="0.3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spans="1:29" ht="19.95" customHeight="1" x14ac:dyDescent="0.3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spans="1:29" ht="19.95" customHeight="1" x14ac:dyDescent="0.3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spans="1:29" ht="19.95" customHeight="1" x14ac:dyDescent="0.3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spans="1:29" ht="19.95" customHeight="1" x14ac:dyDescent="0.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spans="1:29" ht="19.95" customHeight="1" x14ac:dyDescent="0.3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spans="1:29" ht="19.95" customHeight="1" x14ac:dyDescent="0.3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spans="1:29" ht="19.95" customHeight="1" x14ac:dyDescent="0.3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spans="1:29" ht="19.95" customHeight="1" x14ac:dyDescent="0.3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spans="1:29" ht="19.95" customHeight="1" x14ac:dyDescent="0.3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spans="1:29" ht="19.95" customHeight="1" x14ac:dyDescent="0.3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spans="1:29" ht="19.95" customHeight="1" x14ac:dyDescent="0.3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spans="1:29" ht="19.95" customHeight="1" x14ac:dyDescent="0.3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spans="1:29" ht="19.95" customHeight="1" x14ac:dyDescent="0.3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spans="1:29" ht="19.95" customHeight="1" x14ac:dyDescent="0.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spans="1:29" ht="19.95" customHeight="1" x14ac:dyDescent="0.3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spans="1:29" ht="19.95" customHeight="1" x14ac:dyDescent="0.3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spans="1:29" ht="19.95" customHeight="1" x14ac:dyDescent="0.3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spans="1:29" ht="19.95" customHeight="1" x14ac:dyDescent="0.3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spans="1:29" ht="19.95" customHeight="1" x14ac:dyDescent="0.3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spans="1:29" ht="19.95" customHeight="1" x14ac:dyDescent="0.3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spans="1:29" ht="19.95" customHeight="1" x14ac:dyDescent="0.3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spans="1:29" ht="19.95" customHeight="1" x14ac:dyDescent="0.3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spans="1:29" ht="19.95" customHeight="1" x14ac:dyDescent="0.3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spans="1:29" ht="19.95" customHeight="1" x14ac:dyDescent="0.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spans="1:29" ht="19.95" customHeight="1" x14ac:dyDescent="0.3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spans="1:29" ht="19.95" customHeight="1" x14ac:dyDescent="0.3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spans="1:29" ht="19.95" customHeight="1" x14ac:dyDescent="0.3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spans="1:29" ht="19.95" customHeight="1" x14ac:dyDescent="0.3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spans="1:29" ht="19.95" customHeight="1" x14ac:dyDescent="0.3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spans="1:29" ht="19.95" customHeight="1" x14ac:dyDescent="0.3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spans="1:29" ht="19.95" customHeight="1" x14ac:dyDescent="0.3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spans="1:29" ht="19.95" customHeight="1" x14ac:dyDescent="0.3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spans="1:29" ht="19.95" customHeight="1" x14ac:dyDescent="0.3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spans="1:29" ht="19.95" customHeight="1" x14ac:dyDescent="0.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spans="1:29" ht="19.95" customHeight="1" x14ac:dyDescent="0.3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spans="1:29" ht="19.95" customHeight="1" x14ac:dyDescent="0.3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spans="1:29" ht="19.95" customHeight="1" x14ac:dyDescent="0.3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spans="1:29" ht="19.95" customHeight="1" x14ac:dyDescent="0.3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spans="1:29" ht="19.95" customHeight="1" x14ac:dyDescent="0.3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spans="1:29" ht="19.95" customHeight="1" x14ac:dyDescent="0.3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spans="1:29" ht="19.95" customHeight="1" x14ac:dyDescent="0.3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spans="1:29" ht="19.95" customHeight="1" x14ac:dyDescent="0.3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spans="1:29" ht="19.95" customHeight="1" x14ac:dyDescent="0.3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spans="1:29" ht="19.95" customHeight="1" x14ac:dyDescent="0.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spans="1:29" ht="19.95" customHeight="1" x14ac:dyDescent="0.3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spans="1:29" ht="19.95" customHeight="1" x14ac:dyDescent="0.3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spans="1:29" ht="19.95" customHeight="1" x14ac:dyDescent="0.3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spans="1:29" ht="19.95" customHeight="1" x14ac:dyDescent="0.3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spans="1:29" ht="19.95" customHeight="1" x14ac:dyDescent="0.3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spans="1:29" ht="19.95" customHeight="1" x14ac:dyDescent="0.3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spans="1:29" ht="19.95" customHeight="1" x14ac:dyDescent="0.3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spans="1:29" ht="19.95" customHeight="1" x14ac:dyDescent="0.3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spans="1:29" ht="19.95" customHeight="1" x14ac:dyDescent="0.3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spans="1:29" ht="19.95" customHeight="1" x14ac:dyDescent="0.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spans="1:29" ht="19.95" customHeight="1" x14ac:dyDescent="0.3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spans="1:29" ht="19.95" customHeight="1" x14ac:dyDescent="0.3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spans="1:29" ht="19.95" customHeight="1" x14ac:dyDescent="0.3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spans="1:29" ht="19.95" customHeight="1" x14ac:dyDescent="0.3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spans="1:29" ht="19.95" customHeight="1" x14ac:dyDescent="0.3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spans="1:29" ht="19.95" customHeight="1" x14ac:dyDescent="0.3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spans="1:29" ht="19.95" customHeight="1" x14ac:dyDescent="0.3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spans="1:29" ht="19.95" customHeight="1" x14ac:dyDescent="0.3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spans="1:29" ht="19.95" customHeight="1" x14ac:dyDescent="0.3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spans="1:29" ht="19.95" customHeight="1" x14ac:dyDescent="0.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spans="1:29" ht="19.95" customHeight="1" x14ac:dyDescent="0.3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spans="1:29" ht="19.95" customHeight="1" x14ac:dyDescent="0.3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spans="1:29" ht="19.95" customHeight="1" x14ac:dyDescent="0.3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spans="1:29" ht="19.95" customHeight="1" x14ac:dyDescent="0.3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spans="1:29" ht="19.95" customHeight="1" x14ac:dyDescent="0.3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spans="1:29" ht="19.95" customHeight="1" x14ac:dyDescent="0.3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spans="1:29" ht="19.95" customHeight="1" x14ac:dyDescent="0.3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spans="1:29" ht="19.95" customHeight="1" x14ac:dyDescent="0.3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spans="1:29" ht="19.95" customHeight="1" x14ac:dyDescent="0.3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spans="1:29" ht="19.95" customHeight="1" x14ac:dyDescent="0.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spans="1:29" ht="19.95" customHeight="1" x14ac:dyDescent="0.3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spans="1:29" ht="19.95" customHeight="1" x14ac:dyDescent="0.3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spans="1:29" ht="19.95" customHeight="1" x14ac:dyDescent="0.3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spans="1:29" ht="19.95" customHeight="1" x14ac:dyDescent="0.3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spans="1:29" ht="19.95" customHeight="1" x14ac:dyDescent="0.3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spans="1:29" ht="19.95" customHeight="1" x14ac:dyDescent="0.3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spans="1:29" ht="19.95" customHeight="1" x14ac:dyDescent="0.3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spans="1:29" ht="19.95" customHeight="1" x14ac:dyDescent="0.3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spans="1:29" ht="19.95" customHeight="1" x14ac:dyDescent="0.3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spans="1:29" ht="19.95" customHeight="1" x14ac:dyDescent="0.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spans="1:29" ht="19.95" customHeight="1" x14ac:dyDescent="0.3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spans="1:29" ht="19.95" customHeight="1" x14ac:dyDescent="0.3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spans="1:29" ht="19.95" customHeight="1" x14ac:dyDescent="0.3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spans="1:29" ht="19.95" customHeight="1" x14ac:dyDescent="0.3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spans="1:29" ht="19.95" customHeight="1" x14ac:dyDescent="0.3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spans="1:29" ht="19.95" customHeight="1" x14ac:dyDescent="0.3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spans="1:29" ht="19.95" customHeight="1" x14ac:dyDescent="0.3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spans="1:29" ht="19.95" customHeight="1" x14ac:dyDescent="0.3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spans="1:29" ht="19.95" customHeight="1" x14ac:dyDescent="0.3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spans="1:29" ht="19.95" customHeight="1" x14ac:dyDescent="0.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spans="1:29" ht="19.95" customHeight="1" x14ac:dyDescent="0.3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spans="1:29" ht="19.95" customHeight="1" x14ac:dyDescent="0.3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spans="1:29" ht="19.95" customHeight="1" x14ac:dyDescent="0.3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spans="1:29" ht="19.95" customHeight="1" x14ac:dyDescent="0.3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spans="1:29" ht="19.95" customHeight="1" x14ac:dyDescent="0.3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spans="1:29" ht="19.95" customHeight="1" x14ac:dyDescent="0.3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spans="1:29" ht="19.95" customHeight="1" x14ac:dyDescent="0.3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spans="1:29" ht="19.95" customHeight="1" x14ac:dyDescent="0.3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spans="1:29" ht="19.95" customHeight="1" x14ac:dyDescent="0.3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spans="1:29" ht="19.95" customHeight="1" x14ac:dyDescent="0.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spans="1:29" ht="19.95" customHeight="1" x14ac:dyDescent="0.3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spans="1:29" ht="19.95" customHeight="1" x14ac:dyDescent="0.3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spans="1:29" ht="19.95" customHeight="1" x14ac:dyDescent="0.3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spans="1:29" ht="19.95" customHeight="1" x14ac:dyDescent="0.3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spans="1:29" ht="19.95" customHeight="1" x14ac:dyDescent="0.3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spans="1:29" ht="19.95" customHeight="1" x14ac:dyDescent="0.3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spans="1:29" ht="19.95" customHeight="1" x14ac:dyDescent="0.3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spans="1:29" ht="19.95" customHeight="1" x14ac:dyDescent="0.3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spans="1:29" ht="19.95" customHeight="1" x14ac:dyDescent="0.3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spans="1:29" ht="19.95" customHeight="1" x14ac:dyDescent="0.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spans="1:29" ht="19.95" customHeight="1" x14ac:dyDescent="0.3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spans="1:29" ht="19.95" customHeight="1" x14ac:dyDescent="0.3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spans="1:29" ht="19.95" customHeight="1" x14ac:dyDescent="0.3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spans="1:29" ht="19.95" customHeight="1" x14ac:dyDescent="0.3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spans="1:29" ht="19.95" customHeight="1" x14ac:dyDescent="0.3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spans="1:29" ht="19.95" customHeight="1" x14ac:dyDescent="0.3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spans="1:29" ht="19.95" customHeight="1" x14ac:dyDescent="0.3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spans="1:29" ht="19.95" customHeight="1" x14ac:dyDescent="0.3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spans="1:29" ht="19.95" customHeight="1" x14ac:dyDescent="0.3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spans="1:29" ht="19.95" customHeight="1" x14ac:dyDescent="0.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spans="1:29" ht="19.95" customHeight="1" x14ac:dyDescent="0.3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spans="1:29" ht="19.95" customHeight="1" x14ac:dyDescent="0.3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spans="1:29" ht="19.95" customHeight="1" x14ac:dyDescent="0.3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spans="1:29" ht="19.95" customHeight="1" x14ac:dyDescent="0.3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spans="1:29" ht="19.95" customHeight="1" x14ac:dyDescent="0.3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spans="1:29" ht="19.95" customHeight="1" x14ac:dyDescent="0.3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spans="1:29" ht="19.95" customHeight="1" x14ac:dyDescent="0.3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spans="1:29" ht="19.95" customHeight="1" x14ac:dyDescent="0.3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spans="1:29" ht="19.95" customHeight="1" x14ac:dyDescent="0.3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spans="1:29" ht="19.95" customHeight="1" x14ac:dyDescent="0.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spans="1:29" ht="19.95" customHeight="1" x14ac:dyDescent="0.3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spans="1:29" ht="19.95" customHeight="1" x14ac:dyDescent="0.3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spans="1:29" ht="19.95" customHeight="1" x14ac:dyDescent="0.3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spans="1:29" ht="19.95" customHeight="1" x14ac:dyDescent="0.3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spans="1:29" ht="19.95" customHeight="1" x14ac:dyDescent="0.3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spans="1:29" ht="19.95" customHeight="1" x14ac:dyDescent="0.3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spans="1:29" ht="19.95" customHeight="1" x14ac:dyDescent="0.3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spans="1:29" ht="19.95" customHeight="1" x14ac:dyDescent="0.3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spans="1:29" ht="19.95" customHeight="1" x14ac:dyDescent="0.3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spans="1:29" ht="19.95" customHeight="1" x14ac:dyDescent="0.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spans="1:29" ht="19.95" customHeight="1" x14ac:dyDescent="0.3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spans="1:29" ht="19.95" customHeight="1" x14ac:dyDescent="0.3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spans="1:29" ht="19.95" customHeight="1" x14ac:dyDescent="0.3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spans="1:29" ht="19.95" customHeight="1" x14ac:dyDescent="0.3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spans="1:29" ht="19.95" customHeight="1" x14ac:dyDescent="0.3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spans="1:29" ht="19.95" customHeight="1" x14ac:dyDescent="0.3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spans="1:29" ht="19.95" customHeight="1" x14ac:dyDescent="0.3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spans="1:29" ht="19.95" customHeight="1" x14ac:dyDescent="0.3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spans="1:29" ht="19.95" customHeight="1" x14ac:dyDescent="0.3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spans="1:29" ht="19.95" customHeight="1" x14ac:dyDescent="0.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spans="1:29" ht="19.95" customHeight="1" x14ac:dyDescent="0.3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spans="1:29" ht="19.95" customHeight="1" x14ac:dyDescent="0.3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spans="1:29" ht="19.95" customHeight="1" x14ac:dyDescent="0.3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spans="1:29" ht="19.95" customHeight="1" x14ac:dyDescent="0.3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spans="1:29" ht="19.95" customHeight="1" x14ac:dyDescent="0.3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spans="1:29" ht="19.95" customHeight="1" x14ac:dyDescent="0.3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spans="1:29" ht="19.95" customHeight="1" x14ac:dyDescent="0.3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spans="1:29" ht="19.95" customHeight="1" x14ac:dyDescent="0.3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spans="1:29" ht="19.95" customHeight="1" x14ac:dyDescent="0.3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spans="1:29" ht="19.95" customHeight="1" x14ac:dyDescent="0.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spans="1:29" ht="19.95" customHeight="1" x14ac:dyDescent="0.3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spans="1:29" ht="19.95" customHeight="1" x14ac:dyDescent="0.3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spans="1:29" ht="19.95" customHeight="1" x14ac:dyDescent="0.3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spans="1:29" ht="19.95" customHeight="1" x14ac:dyDescent="0.3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spans="1:29" ht="19.95" customHeight="1" x14ac:dyDescent="0.3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spans="1:29" ht="19.95" customHeight="1" x14ac:dyDescent="0.3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spans="1:29" ht="19.95" customHeight="1" x14ac:dyDescent="0.3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spans="1:29" ht="19.95" customHeight="1" x14ac:dyDescent="0.3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spans="1:29" ht="19.95" customHeight="1" x14ac:dyDescent="0.3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spans="1:29" ht="19.95" customHeight="1" x14ac:dyDescent="0.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spans="1:29" ht="19.95" customHeight="1" x14ac:dyDescent="0.3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  <row r="995" spans="1:29" ht="19.95" customHeight="1" x14ac:dyDescent="0.3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</row>
    <row r="996" spans="1:29" ht="19.95" customHeight="1" x14ac:dyDescent="0.3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</row>
    <row r="997" spans="1:29" ht="19.95" customHeight="1" x14ac:dyDescent="0.3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</row>
    <row r="998" spans="1:29" ht="19.95" customHeight="1" x14ac:dyDescent="0.3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</row>
    <row r="999" spans="1:29" ht="19.95" customHeight="1" x14ac:dyDescent="0.3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</row>
    <row r="1000" spans="1:29" ht="19.95" customHeight="1" x14ac:dyDescent="0.3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</row>
    <row r="1001" spans="1:29" ht="19.95" customHeight="1" x14ac:dyDescent="0.3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</row>
    <row r="1002" spans="1:29" ht="19.95" customHeight="1" x14ac:dyDescent="0.3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</row>
    <row r="1003" spans="1:29" ht="19.95" customHeight="1" x14ac:dyDescent="0.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</row>
    <row r="1004" spans="1:29" ht="19.95" customHeight="1" x14ac:dyDescent="0.3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</row>
    <row r="1005" spans="1:29" ht="19.95" customHeight="1" x14ac:dyDescent="0.3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</row>
    <row r="1006" spans="1:29" ht="19.95" customHeight="1" x14ac:dyDescent="0.3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</row>
    <row r="1007" spans="1:29" ht="19.95" customHeight="1" x14ac:dyDescent="0.3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</row>
    <row r="1008" spans="1:29" ht="19.95" customHeight="1" x14ac:dyDescent="0.3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</row>
    <row r="1009" spans="1:29" ht="19.95" customHeight="1" x14ac:dyDescent="0.3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</row>
    <row r="1010" spans="1:29" ht="19.95" customHeight="1" x14ac:dyDescent="0.3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</row>
    <row r="1011" spans="1:29" ht="19.95" customHeight="1" x14ac:dyDescent="0.3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</row>
    <row r="1012" spans="1:29" ht="19.95" customHeight="1" x14ac:dyDescent="0.3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</row>
    <row r="1013" spans="1:29" ht="19.95" customHeight="1" x14ac:dyDescent="0.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  <c r="AB1013" s="18"/>
      <c r="AC1013" s="18"/>
    </row>
    <row r="1014" spans="1:29" ht="19.95" customHeight="1" x14ac:dyDescent="0.3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  <c r="AB1014" s="18"/>
      <c r="AC1014" s="18"/>
    </row>
    <row r="1015" spans="1:29" ht="19.95" customHeight="1" x14ac:dyDescent="0.3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  <c r="AB1015" s="18"/>
      <c r="AC1015" s="18"/>
    </row>
    <row r="1016" spans="1:29" ht="19.95" customHeight="1" x14ac:dyDescent="0.3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  <c r="AB1016" s="18"/>
      <c r="AC1016" s="18"/>
    </row>
    <row r="1017" spans="1:29" ht="19.95" customHeight="1" x14ac:dyDescent="0.3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  <c r="AB1017" s="18"/>
      <c r="AC1017" s="18"/>
    </row>
    <row r="1018" spans="1:29" ht="19.95" customHeight="1" x14ac:dyDescent="0.3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  <c r="AB1018" s="18"/>
      <c r="AC1018" s="18"/>
    </row>
    <row r="1019" spans="1:29" ht="19.95" customHeight="1" x14ac:dyDescent="0.3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  <c r="AB1019" s="18"/>
      <c r="AC1019" s="18"/>
    </row>
    <row r="1020" spans="1:29" ht="19.95" customHeight="1" x14ac:dyDescent="0.3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  <c r="AB1020" s="18"/>
      <c r="AC1020" s="18"/>
    </row>
    <row r="1021" spans="1:29" ht="19.95" customHeight="1" x14ac:dyDescent="0.3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  <c r="AB1021" s="18"/>
      <c r="AC1021" s="18"/>
    </row>
    <row r="1022" spans="1:29" ht="19.95" customHeight="1" x14ac:dyDescent="0.3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  <c r="AB1022" s="18"/>
      <c r="AC1022" s="18"/>
    </row>
    <row r="1023" spans="1:29" ht="19.95" customHeight="1" x14ac:dyDescent="0.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  <c r="AB1023" s="18"/>
      <c r="AC1023" s="18"/>
    </row>
    <row r="1024" spans="1:29" ht="19.95" customHeight="1" x14ac:dyDescent="0.3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  <c r="AB1024" s="18"/>
      <c r="AC1024" s="18"/>
    </row>
    <row r="1025" spans="1:29" ht="19.95" customHeight="1" x14ac:dyDescent="0.3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  <c r="AB1025" s="18"/>
      <c r="AC1025" s="18"/>
    </row>
    <row r="1026" spans="1:29" ht="19.95" customHeight="1" x14ac:dyDescent="0.3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  <c r="AB1026" s="18"/>
      <c r="AC1026" s="18"/>
    </row>
    <row r="1027" spans="1:29" ht="19.95" customHeight="1" x14ac:dyDescent="0.3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  <c r="AB1027" s="18"/>
      <c r="AC1027" s="18"/>
    </row>
    <row r="1028" spans="1:29" ht="19.95" customHeight="1" x14ac:dyDescent="0.3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  <c r="AB1028" s="18"/>
      <c r="AC1028" s="18"/>
    </row>
    <row r="1029" spans="1:29" ht="19.95" customHeight="1" x14ac:dyDescent="0.3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  <c r="AB1029" s="18"/>
      <c r="AC1029" s="18"/>
    </row>
    <row r="1030" spans="1:29" ht="19.95" customHeight="1" x14ac:dyDescent="0.3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  <c r="AB1030" s="18"/>
      <c r="AC1030" s="18"/>
    </row>
    <row r="1031" spans="1:29" ht="19.95" customHeight="1" x14ac:dyDescent="0.3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  <c r="AB1031" s="18"/>
      <c r="AC1031" s="18"/>
    </row>
  </sheetData>
  <mergeCells count="38">
    <mergeCell ref="D106:E106"/>
    <mergeCell ref="E9:I9"/>
    <mergeCell ref="L9:N9"/>
    <mergeCell ref="E13:I13"/>
    <mergeCell ref="A17:A106"/>
    <mergeCell ref="B17:C17"/>
    <mergeCell ref="B18:C18"/>
    <mergeCell ref="B19:C19"/>
    <mergeCell ref="B20:B32"/>
    <mergeCell ref="B33:B44"/>
    <mergeCell ref="B46:B72"/>
    <mergeCell ref="B73:B82"/>
    <mergeCell ref="B83:B92"/>
    <mergeCell ref="B93:B102"/>
    <mergeCell ref="B103:B104"/>
    <mergeCell ref="B105:C106"/>
    <mergeCell ref="D105:E105"/>
    <mergeCell ref="B12:C12"/>
    <mergeCell ref="E12:I12"/>
    <mergeCell ref="A13:C13"/>
    <mergeCell ref="L6:N6"/>
    <mergeCell ref="B7:C7"/>
    <mergeCell ref="E7:I7"/>
    <mergeCell ref="L7:N7"/>
    <mergeCell ref="B10:C10"/>
    <mergeCell ref="E10:I10"/>
    <mergeCell ref="L10:N10"/>
    <mergeCell ref="B11:C11"/>
    <mergeCell ref="E11:I11"/>
    <mergeCell ref="B8:C8"/>
    <mergeCell ref="E8:I8"/>
    <mergeCell ref="L8:N8"/>
    <mergeCell ref="B9:C9"/>
    <mergeCell ref="B1:E1"/>
    <mergeCell ref="B2:E2"/>
    <mergeCell ref="B3:E3"/>
    <mergeCell ref="B4:E4"/>
    <mergeCell ref="A6:I6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21"/>
  <sheetViews>
    <sheetView topLeftCell="A15" zoomScale="70" zoomScaleNormal="70" workbookViewId="0">
      <selection activeCell="C63" sqref="C20:C63"/>
    </sheetView>
  </sheetViews>
  <sheetFormatPr defaultColWidth="14.44140625" defaultRowHeight="19.95" customHeight="1" x14ac:dyDescent="0.3"/>
  <cols>
    <col min="1" max="1" width="19.5546875" customWidth="1"/>
    <col min="2" max="2" width="20" customWidth="1"/>
    <col min="3" max="3" width="54.77734375" customWidth="1"/>
    <col min="4" max="4" width="23.6640625" customWidth="1"/>
    <col min="5" max="5" width="10.44140625" customWidth="1"/>
    <col min="6" max="6" width="7.44140625" customWidth="1"/>
    <col min="7" max="10" width="9" customWidth="1"/>
    <col min="11" max="11" width="9.109375" customWidth="1"/>
    <col min="12" max="12" width="10.77734375" customWidth="1"/>
    <col min="13" max="14" width="8.88671875" customWidth="1"/>
    <col min="15" max="15" width="9.109375" customWidth="1"/>
    <col min="16" max="16" width="10.77734375" customWidth="1"/>
    <col min="17" max="17" width="9.109375" customWidth="1"/>
    <col min="18" max="18" width="9.44140625" customWidth="1"/>
    <col min="19" max="19" width="10" customWidth="1"/>
    <col min="20" max="20" width="9.44140625" customWidth="1"/>
    <col min="21" max="21" width="11.5546875" customWidth="1"/>
    <col min="22" max="22" width="11.44140625" customWidth="1"/>
  </cols>
  <sheetData>
    <row r="1" spans="1:29" ht="19.95" customHeight="1" x14ac:dyDescent="0.3">
      <c r="A1" s="15" t="s">
        <v>3</v>
      </c>
      <c r="B1" s="63" t="s">
        <v>81</v>
      </c>
      <c r="C1" s="64"/>
      <c r="D1" s="64"/>
      <c r="E1" s="65"/>
      <c r="F1" s="16"/>
      <c r="G1" s="16"/>
      <c r="H1" s="17"/>
      <c r="I1" s="17"/>
      <c r="J1" s="17"/>
      <c r="K1" s="17"/>
      <c r="L1" s="17"/>
      <c r="M1" s="17"/>
      <c r="N1" s="17"/>
      <c r="O1" s="17"/>
      <c r="P1" s="1"/>
      <c r="Q1" s="1"/>
      <c r="R1" s="17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 ht="19.95" customHeight="1" x14ac:dyDescent="0.3">
      <c r="A2" s="15" t="s">
        <v>2</v>
      </c>
      <c r="B2" s="63" t="s">
        <v>14</v>
      </c>
      <c r="C2" s="64"/>
      <c r="D2" s="64"/>
      <c r="E2" s="65"/>
      <c r="F2" s="16"/>
      <c r="G2" s="16"/>
      <c r="H2" s="17"/>
      <c r="I2" s="17"/>
      <c r="J2" s="17"/>
      <c r="K2" s="17"/>
      <c r="L2" s="17"/>
      <c r="M2" s="17"/>
      <c r="N2" s="17"/>
      <c r="O2" s="17"/>
      <c r="P2" s="1"/>
      <c r="Q2" s="1"/>
      <c r="R2" s="1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</row>
    <row r="3" spans="1:29" ht="19.95" customHeight="1" x14ac:dyDescent="0.3">
      <c r="A3" s="15" t="s">
        <v>1</v>
      </c>
      <c r="B3" s="66">
        <v>46101</v>
      </c>
      <c r="C3" s="67"/>
      <c r="D3" s="67"/>
      <c r="E3" s="68"/>
      <c r="F3" s="19"/>
      <c r="G3" s="19"/>
      <c r="H3" s="17"/>
      <c r="I3" s="17"/>
      <c r="J3" s="17"/>
      <c r="K3" s="17"/>
      <c r="L3" s="17"/>
      <c r="M3" s="17"/>
      <c r="N3" s="17"/>
      <c r="O3" s="17"/>
      <c r="P3" s="1"/>
      <c r="Q3" s="1"/>
      <c r="R3" s="1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</row>
    <row r="4" spans="1:29" ht="19.95" customHeight="1" x14ac:dyDescent="0.3">
      <c r="A4" s="15" t="s">
        <v>0</v>
      </c>
      <c r="B4" s="66">
        <v>46116</v>
      </c>
      <c r="C4" s="67"/>
      <c r="D4" s="67"/>
      <c r="E4" s="68"/>
      <c r="F4" s="19"/>
      <c r="G4" s="19"/>
      <c r="H4" s="17"/>
      <c r="I4" s="17"/>
      <c r="J4" s="17"/>
      <c r="K4" s="17"/>
      <c r="L4" s="17"/>
      <c r="M4" s="17"/>
      <c r="N4" s="17"/>
      <c r="O4" s="17"/>
      <c r="P4" s="1"/>
      <c r="Q4" s="1"/>
      <c r="R4" s="1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</row>
    <row r="5" spans="1:29" ht="19.9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</row>
    <row r="6" spans="1:29" ht="19.95" customHeight="1" x14ac:dyDescent="0.3">
      <c r="A6" s="69" t="s">
        <v>24</v>
      </c>
      <c r="B6" s="70"/>
      <c r="C6" s="70"/>
      <c r="D6" s="70"/>
      <c r="E6" s="70"/>
      <c r="F6" s="70"/>
      <c r="G6" s="70"/>
      <c r="H6" s="70"/>
      <c r="I6" s="71"/>
      <c r="J6" s="1"/>
      <c r="K6" s="20"/>
      <c r="L6" s="81" t="s">
        <v>25</v>
      </c>
      <c r="M6" s="82"/>
      <c r="N6" s="82"/>
      <c r="O6" s="1"/>
      <c r="P6" s="1"/>
      <c r="Q6" s="1"/>
      <c r="R6" s="1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</row>
    <row r="7" spans="1:29" ht="19.95" customHeight="1" x14ac:dyDescent="0.3">
      <c r="A7" s="21" t="s">
        <v>26</v>
      </c>
      <c r="B7" s="83" t="s">
        <v>27</v>
      </c>
      <c r="C7" s="75"/>
      <c r="D7" s="22" t="s">
        <v>9</v>
      </c>
      <c r="E7" s="84" t="s">
        <v>18</v>
      </c>
      <c r="F7" s="70"/>
      <c r="G7" s="70"/>
      <c r="H7" s="70"/>
      <c r="I7" s="71"/>
      <c r="J7" s="1"/>
      <c r="K7" s="23"/>
      <c r="L7" s="81" t="s">
        <v>28</v>
      </c>
      <c r="M7" s="82"/>
      <c r="N7" s="82"/>
      <c r="O7" s="1"/>
      <c r="P7" s="1"/>
      <c r="Q7" s="1"/>
      <c r="R7" s="1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</row>
    <row r="8" spans="1:29" ht="19.95" customHeight="1" x14ac:dyDescent="0.3">
      <c r="A8" s="24">
        <v>1</v>
      </c>
      <c r="B8" s="87" t="s">
        <v>29</v>
      </c>
      <c r="C8" s="71"/>
      <c r="D8" s="25">
        <f xml:space="preserve"> SUMIF(D17:D94, "Hưng",E17:E94) + SUMIF(D17:D94, "All Team", E17:E94)/5 + SUMIF(D17:D94, "Khang, Hưng", E17:E94)/2+ SUMIF(D17:D94, "Khải, Hưng", E17:E94)/2</f>
        <v>0</v>
      </c>
      <c r="E8" s="88">
        <f xml:space="preserve"> SUMIF(D17:D94, "Hưng",F17:F94) + SUMIF(D17:D94, "All Team", F17:F94)/5+ SUMIF(D17:D94, "Hưng, Khải", F17:F94)/2</f>
        <v>42.8</v>
      </c>
      <c r="F8" s="76"/>
      <c r="G8" s="76"/>
      <c r="H8" s="76"/>
      <c r="I8" s="89"/>
      <c r="J8" s="1"/>
      <c r="K8" s="26"/>
      <c r="L8" s="81" t="s">
        <v>21</v>
      </c>
      <c r="M8" s="82"/>
      <c r="N8" s="82"/>
      <c r="O8" s="1"/>
      <c r="P8" s="1"/>
      <c r="Q8" s="1"/>
      <c r="R8" s="1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</row>
    <row r="9" spans="1:29" ht="19.95" customHeight="1" x14ac:dyDescent="0.3">
      <c r="A9" s="24">
        <v>2</v>
      </c>
      <c r="B9" s="61" t="s">
        <v>30</v>
      </c>
      <c r="C9" s="62"/>
      <c r="D9" s="25">
        <f xml:space="preserve"> SUMIF(D17:D94, "Khải",E17:E94) + SUMIF(D17:D94, "All Team", E17:E94)/5 + SUMIF(D17:D94, "Khải, Lĩnh", E17:E94)/2+ SUMIF(D17:D94, "Khải, Hưng", E17:E94)/2</f>
        <v>0</v>
      </c>
      <c r="E9" s="76">
        <f ca="1" xml:space="preserve"> SUMIF(D17:D94, "Khải",F17:F94) + SUMIF(D17:D94, "All Team", F17:F94)/5 + SUMIF(D17:D94, "Hưng, Khải", F17:F93)/2</f>
        <v>40.799999999999997</v>
      </c>
      <c r="F9" s="77"/>
      <c r="G9" s="77"/>
      <c r="H9" s="77"/>
      <c r="I9" s="78"/>
      <c r="J9" s="1"/>
      <c r="K9" s="17"/>
      <c r="L9" s="85"/>
      <c r="M9" s="86"/>
      <c r="N9" s="86"/>
      <c r="O9" s="1"/>
      <c r="P9" s="1"/>
      <c r="Q9" s="1"/>
      <c r="R9" s="1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</row>
    <row r="10" spans="1:29" ht="19.95" customHeight="1" x14ac:dyDescent="0.3">
      <c r="A10" s="24">
        <v>3</v>
      </c>
      <c r="B10" s="61" t="s">
        <v>31</v>
      </c>
      <c r="C10" s="62"/>
      <c r="D10" s="25">
        <f xml:space="preserve"> SUMIF(D17:D94, "Khang",E17:E94) + SUMIF(D17:D94, "All Team", E17:E94)/5 + SUMIF(D17:D94, "Khang, Vĩ", E17:E94)/2+ SUMIF(D17:D94, "Khang, Hưng", E17:E94)/2</f>
        <v>0</v>
      </c>
      <c r="E10" s="76">
        <f xml:space="preserve"> SUMIF(D17:D94, "Lĩnh",F17:F94) + SUMIF(D17:D94, "All Team", F17:F94)/5</f>
        <v>29.8</v>
      </c>
      <c r="F10" s="77"/>
      <c r="G10" s="77"/>
      <c r="H10" s="77"/>
      <c r="I10" s="78"/>
      <c r="J10" s="1"/>
      <c r="K10" s="17"/>
      <c r="L10" s="85"/>
      <c r="M10" s="86"/>
      <c r="N10" s="86"/>
      <c r="O10" s="1"/>
      <c r="P10" s="1"/>
      <c r="Q10" s="1"/>
      <c r="R10" s="1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</row>
    <row r="11" spans="1:29" ht="19.95" customHeight="1" x14ac:dyDescent="0.3">
      <c r="A11" s="24">
        <v>4</v>
      </c>
      <c r="B11" s="61" t="s">
        <v>82</v>
      </c>
      <c r="C11" s="62"/>
      <c r="D11" s="25">
        <f xml:space="preserve"> SUMIF(D17:D94, "Lĩnh",E17:E94) + SUMIF(D17:D94, "All Team", E17:E94)/5 + SUMIF(D17:D94, "Khải, Lĩnh", E17:E94)/2</f>
        <v>0</v>
      </c>
      <c r="E11" s="76">
        <f xml:space="preserve"> SUMIF(D17:D94, "Luyện",F17:F94) + SUMIF(D17:D94, "All Team", F17:F94)/5 + SUMIF(D17:D94, "Thúy, Luyện", F17:F95)/2</f>
        <v>35.799999999999997</v>
      </c>
      <c r="F11" s="77"/>
      <c r="G11" s="77"/>
      <c r="H11" s="77"/>
      <c r="I11" s="78"/>
      <c r="J11" s="1"/>
      <c r="K11" s="1"/>
      <c r="L11" s="1"/>
      <c r="M11" s="1"/>
      <c r="N11" s="1"/>
      <c r="O11" s="1"/>
      <c r="P11" s="1"/>
      <c r="Q11" s="1"/>
      <c r="R11" s="1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</row>
    <row r="12" spans="1:29" ht="19.95" customHeight="1" x14ac:dyDescent="0.3">
      <c r="A12" s="27">
        <v>5</v>
      </c>
      <c r="B12" s="74" t="s">
        <v>83</v>
      </c>
      <c r="C12" s="75"/>
      <c r="D12" s="25">
        <f xml:space="preserve"> SUMIF(D17:D94, "Vĩ",E17:E94) + SUMIF(D17:D94, "All Team", E17:E94)/5 + SUMIF(D17:D94, "Khang, Vĩ", E17:E94)/2</f>
        <v>0</v>
      </c>
      <c r="E12" s="76">
        <f xml:space="preserve"> SUMIF(D17:D94, "Thúy",F17:F94) + SUMIF(D17:D94, "All Team", F17:F94)/5 + SUMIF(D17:D94, "Thúy, Luyện", F17:F95)/2</f>
        <v>28.8</v>
      </c>
      <c r="F12" s="77"/>
      <c r="G12" s="77"/>
      <c r="H12" s="77"/>
      <c r="I12" s="78"/>
      <c r="J12" s="1"/>
      <c r="K12" s="1"/>
      <c r="L12" s="1"/>
      <c r="M12" s="1"/>
      <c r="N12" s="1"/>
      <c r="O12" s="1"/>
      <c r="P12" s="1"/>
      <c r="Q12" s="1"/>
      <c r="R12" s="1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</row>
    <row r="13" spans="1:29" ht="19.95" customHeight="1" x14ac:dyDescent="0.3">
      <c r="A13" s="79" t="s">
        <v>32</v>
      </c>
      <c r="B13" s="80"/>
      <c r="C13" s="62"/>
      <c r="D13" s="28">
        <f>SUM(D8:D12)</f>
        <v>0</v>
      </c>
      <c r="E13" s="90">
        <f ca="1">SUM(E8:I12)</f>
        <v>178</v>
      </c>
      <c r="F13" s="91"/>
      <c r="G13" s="91"/>
      <c r="H13" s="91"/>
      <c r="I13" s="92"/>
      <c r="J13" s="1"/>
      <c r="K13" s="1"/>
      <c r="L13" s="1"/>
      <c r="M13" s="1"/>
      <c r="N13" s="1"/>
      <c r="O13" s="1"/>
      <c r="P13" s="1"/>
      <c r="Q13" s="1"/>
      <c r="R13" s="1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</row>
    <row r="14" spans="1:29" ht="19.95" customHeight="1" x14ac:dyDescent="0.3">
      <c r="A14" s="1"/>
      <c r="B14" s="1"/>
      <c r="C14" s="1"/>
      <c r="D14" s="29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</row>
    <row r="15" spans="1:29" ht="19.9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</row>
    <row r="16" spans="1:29" ht="60" customHeight="1" x14ac:dyDescent="0.3">
      <c r="A16" s="30" t="s">
        <v>5</v>
      </c>
      <c r="B16" s="30" t="s">
        <v>6</v>
      </c>
      <c r="C16" s="30" t="s">
        <v>7</v>
      </c>
      <c r="D16" s="49" t="s">
        <v>8</v>
      </c>
      <c r="E16" s="31" t="s">
        <v>33</v>
      </c>
      <c r="F16" s="32" t="s">
        <v>34</v>
      </c>
      <c r="G16" s="33">
        <v>46101</v>
      </c>
      <c r="H16" s="33">
        <v>46102</v>
      </c>
      <c r="I16" s="33">
        <v>46103</v>
      </c>
      <c r="J16" s="33">
        <v>46104</v>
      </c>
      <c r="K16" s="33">
        <v>46105</v>
      </c>
      <c r="L16" s="33">
        <v>46106</v>
      </c>
      <c r="M16" s="33">
        <v>46107</v>
      </c>
      <c r="N16" s="33">
        <v>46108</v>
      </c>
      <c r="O16" s="33">
        <v>46109</v>
      </c>
      <c r="P16" s="33">
        <v>46110</v>
      </c>
      <c r="Q16" s="33">
        <v>46111</v>
      </c>
      <c r="R16" s="33">
        <v>46112</v>
      </c>
      <c r="S16" s="33">
        <v>46113</v>
      </c>
      <c r="T16" s="33">
        <v>46114</v>
      </c>
      <c r="U16" s="33">
        <v>46115</v>
      </c>
      <c r="V16" s="33">
        <v>46116</v>
      </c>
      <c r="W16" s="18"/>
      <c r="X16" s="18"/>
      <c r="Y16" s="18"/>
      <c r="Z16" s="18"/>
      <c r="AA16" s="18"/>
    </row>
    <row r="17" spans="1:22" ht="19.95" customHeight="1" x14ac:dyDescent="0.3">
      <c r="A17" s="93" t="s">
        <v>35</v>
      </c>
      <c r="B17" s="94" t="s">
        <v>36</v>
      </c>
      <c r="C17" s="95"/>
      <c r="D17" s="50" t="s">
        <v>17</v>
      </c>
      <c r="E17" s="52"/>
      <c r="F17" s="51">
        <v>10</v>
      </c>
      <c r="G17" s="56"/>
      <c r="H17" s="41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2"/>
      <c r="V17" s="2"/>
    </row>
    <row r="18" spans="1:22" ht="19.95" customHeight="1" x14ac:dyDescent="0.3">
      <c r="A18" s="93"/>
      <c r="B18" s="94" t="s">
        <v>37</v>
      </c>
      <c r="C18" s="95"/>
      <c r="D18" s="51" t="s">
        <v>22</v>
      </c>
      <c r="E18" s="52"/>
      <c r="F18" s="51">
        <v>4</v>
      </c>
      <c r="G18" s="39"/>
      <c r="H18" s="40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2"/>
      <c r="V18" s="2"/>
    </row>
    <row r="19" spans="1:22" ht="19.95" customHeight="1" x14ac:dyDescent="0.3">
      <c r="A19" s="93"/>
      <c r="B19" s="95" t="s">
        <v>38</v>
      </c>
      <c r="C19" s="96"/>
      <c r="D19" s="51" t="s">
        <v>23</v>
      </c>
      <c r="E19" s="53"/>
      <c r="F19" s="51">
        <v>4</v>
      </c>
      <c r="G19" s="39"/>
      <c r="H19" s="40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2"/>
      <c r="V19" s="2"/>
    </row>
    <row r="20" spans="1:22" ht="19.95" customHeight="1" x14ac:dyDescent="0.3">
      <c r="A20" s="93"/>
      <c r="B20" s="97" t="s">
        <v>39</v>
      </c>
      <c r="C20" s="47" t="s">
        <v>84</v>
      </c>
      <c r="D20" s="51" t="s">
        <v>43</v>
      </c>
      <c r="E20" s="54"/>
      <c r="F20" s="51">
        <v>2</v>
      </c>
      <c r="G20" s="48"/>
      <c r="H20" s="43"/>
      <c r="I20" s="40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2"/>
      <c r="V20" s="2"/>
    </row>
    <row r="21" spans="1:22" ht="19.95" customHeight="1" x14ac:dyDescent="0.3">
      <c r="A21" s="93"/>
      <c r="B21" s="97"/>
      <c r="C21" s="47" t="s">
        <v>85</v>
      </c>
      <c r="D21" s="51" t="s">
        <v>78</v>
      </c>
      <c r="E21" s="54"/>
      <c r="F21" s="51">
        <v>2</v>
      </c>
      <c r="G21" s="48"/>
      <c r="H21" s="43"/>
      <c r="I21" s="44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2"/>
      <c r="V21" s="2"/>
    </row>
    <row r="22" spans="1:22" ht="19.95" customHeight="1" x14ac:dyDescent="0.3">
      <c r="A22" s="93"/>
      <c r="B22" s="97"/>
      <c r="C22" s="47" t="s">
        <v>86</v>
      </c>
      <c r="D22" s="51" t="s">
        <v>40</v>
      </c>
      <c r="E22" s="54"/>
      <c r="F22" s="51">
        <v>1</v>
      </c>
      <c r="G22" s="48"/>
      <c r="H22" s="43"/>
      <c r="I22" s="40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2"/>
      <c r="V22" s="2"/>
    </row>
    <row r="23" spans="1:22" ht="19.95" customHeight="1" x14ac:dyDescent="0.3">
      <c r="A23" s="93"/>
      <c r="B23" s="97"/>
      <c r="C23" s="47" t="s">
        <v>87</v>
      </c>
      <c r="D23" s="50" t="s">
        <v>40</v>
      </c>
      <c r="E23" s="54"/>
      <c r="F23" s="14">
        <v>2</v>
      </c>
      <c r="G23" s="48"/>
      <c r="H23" s="43"/>
      <c r="I23" s="44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2"/>
      <c r="V23" s="2"/>
    </row>
    <row r="24" spans="1:22" ht="19.95" customHeight="1" x14ac:dyDescent="0.3">
      <c r="A24" s="93"/>
      <c r="B24" s="97"/>
      <c r="C24" s="47" t="s">
        <v>140</v>
      </c>
      <c r="D24" s="50" t="s">
        <v>22</v>
      </c>
      <c r="E24" s="54"/>
      <c r="F24" s="14">
        <v>3</v>
      </c>
      <c r="G24" s="48"/>
      <c r="H24" s="43"/>
      <c r="I24" s="40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2"/>
      <c r="V24" s="2"/>
    </row>
    <row r="25" spans="1:22" ht="19.95" customHeight="1" x14ac:dyDescent="0.3">
      <c r="A25" s="93"/>
      <c r="B25" s="97"/>
      <c r="C25" s="47" t="s">
        <v>141</v>
      </c>
      <c r="D25" s="50" t="s">
        <v>22</v>
      </c>
      <c r="E25" s="54"/>
      <c r="F25" s="14">
        <v>2</v>
      </c>
      <c r="G25" s="48"/>
      <c r="H25" s="43"/>
      <c r="I25" s="40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2"/>
      <c r="V25" s="2"/>
    </row>
    <row r="26" spans="1:22" ht="19.95" customHeight="1" x14ac:dyDescent="0.3">
      <c r="A26" s="93"/>
      <c r="B26" s="97"/>
      <c r="C26" s="47" t="s">
        <v>88</v>
      </c>
      <c r="D26" s="50" t="s">
        <v>78</v>
      </c>
      <c r="E26" s="54"/>
      <c r="F26" s="14">
        <v>3</v>
      </c>
      <c r="G26" s="48"/>
      <c r="H26" s="43"/>
      <c r="I26" s="43"/>
      <c r="J26" s="40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2"/>
      <c r="V26" s="3"/>
    </row>
    <row r="27" spans="1:22" ht="19.95" customHeight="1" x14ac:dyDescent="0.3">
      <c r="A27" s="93"/>
      <c r="B27" s="97"/>
      <c r="C27" s="47" t="s">
        <v>89</v>
      </c>
      <c r="D27" s="50" t="s">
        <v>79</v>
      </c>
      <c r="E27" s="54"/>
      <c r="F27" s="14">
        <v>2</v>
      </c>
      <c r="G27" s="48"/>
      <c r="H27" s="43"/>
      <c r="I27" s="43"/>
      <c r="J27" s="40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2"/>
      <c r="V27" s="3"/>
    </row>
    <row r="28" spans="1:22" ht="19.95" customHeight="1" x14ac:dyDescent="0.3">
      <c r="A28" s="93"/>
      <c r="B28" s="97"/>
      <c r="C28" s="47" t="s">
        <v>90</v>
      </c>
      <c r="D28" s="50" t="s">
        <v>43</v>
      </c>
      <c r="E28" s="54"/>
      <c r="F28" s="14">
        <v>2</v>
      </c>
      <c r="G28" s="48"/>
      <c r="H28" s="43"/>
      <c r="I28" s="43"/>
      <c r="J28" s="40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2"/>
      <c r="V28" s="3"/>
    </row>
    <row r="29" spans="1:22" ht="19.95" customHeight="1" x14ac:dyDescent="0.3">
      <c r="A29" s="93"/>
      <c r="B29" s="97"/>
      <c r="C29" s="47" t="s">
        <v>91</v>
      </c>
      <c r="D29" s="50" t="s">
        <v>79</v>
      </c>
      <c r="E29" s="54"/>
      <c r="F29" s="14">
        <v>1</v>
      </c>
      <c r="G29" s="48"/>
      <c r="H29" s="43"/>
      <c r="I29" s="43"/>
      <c r="J29" s="43"/>
      <c r="K29" s="40"/>
      <c r="L29" s="43"/>
      <c r="M29" s="43"/>
      <c r="N29" s="43"/>
      <c r="O29" s="43"/>
      <c r="P29" s="43"/>
      <c r="Q29" s="43"/>
      <c r="R29" s="43"/>
      <c r="S29" s="43"/>
      <c r="T29" s="43"/>
      <c r="U29" s="2"/>
      <c r="V29" s="3"/>
    </row>
    <row r="30" spans="1:22" ht="19.95" customHeight="1" x14ac:dyDescent="0.3">
      <c r="A30" s="93"/>
      <c r="B30" s="97"/>
      <c r="C30" s="35" t="s">
        <v>41</v>
      </c>
      <c r="D30" s="50" t="s">
        <v>17</v>
      </c>
      <c r="E30" s="54"/>
      <c r="F30" s="50">
        <v>10</v>
      </c>
      <c r="G30" s="48"/>
      <c r="H30" s="43"/>
      <c r="I30" s="43"/>
      <c r="J30" s="43"/>
      <c r="K30" s="45"/>
      <c r="L30" s="43"/>
      <c r="M30" s="43"/>
      <c r="N30" s="43"/>
      <c r="O30" s="43"/>
      <c r="P30" s="43"/>
      <c r="Q30" s="43"/>
      <c r="R30" s="43"/>
      <c r="S30" s="43"/>
      <c r="T30" s="43"/>
      <c r="U30" s="2"/>
      <c r="V30" s="3"/>
    </row>
    <row r="31" spans="1:22" ht="19.95" customHeight="1" x14ac:dyDescent="0.3">
      <c r="A31" s="93"/>
      <c r="B31" s="98" t="s">
        <v>42</v>
      </c>
      <c r="C31" s="47" t="s">
        <v>92</v>
      </c>
      <c r="D31" s="34" t="s">
        <v>78</v>
      </c>
      <c r="E31" s="54"/>
      <c r="F31" s="51">
        <v>2</v>
      </c>
      <c r="G31" s="48"/>
      <c r="H31" s="43"/>
      <c r="I31" s="40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2"/>
      <c r="V31" s="3"/>
    </row>
    <row r="32" spans="1:22" ht="19.95" customHeight="1" x14ac:dyDescent="0.3">
      <c r="A32" s="93"/>
      <c r="B32" s="97"/>
      <c r="C32" s="47" t="s">
        <v>93</v>
      </c>
      <c r="D32" s="34" t="s">
        <v>79</v>
      </c>
      <c r="E32" s="54"/>
      <c r="F32" s="51">
        <v>2</v>
      </c>
      <c r="G32" s="48"/>
      <c r="H32" s="43"/>
      <c r="I32" s="40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2"/>
      <c r="V32" s="3"/>
    </row>
    <row r="33" spans="1:22" ht="19.95" customHeight="1" x14ac:dyDescent="0.3">
      <c r="A33" s="93"/>
      <c r="B33" s="97"/>
      <c r="C33" s="47" t="s">
        <v>94</v>
      </c>
      <c r="D33" s="34" t="s">
        <v>40</v>
      </c>
      <c r="E33" s="54"/>
      <c r="F33" s="51">
        <v>1</v>
      </c>
      <c r="G33" s="48"/>
      <c r="H33" s="43"/>
      <c r="I33" s="40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2"/>
      <c r="V33" s="3"/>
    </row>
    <row r="34" spans="1:22" ht="19.95" customHeight="1" x14ac:dyDescent="0.3">
      <c r="A34" s="93"/>
      <c r="B34" s="97"/>
      <c r="C34" s="47" t="s">
        <v>95</v>
      </c>
      <c r="D34" s="34" t="s">
        <v>22</v>
      </c>
      <c r="E34" s="54"/>
      <c r="F34" s="51">
        <v>1</v>
      </c>
      <c r="G34" s="48"/>
      <c r="H34" s="43"/>
      <c r="I34" s="40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2"/>
      <c r="V34" s="3"/>
    </row>
    <row r="35" spans="1:22" ht="19.95" customHeight="1" x14ac:dyDescent="0.3">
      <c r="A35" s="93"/>
      <c r="B35" s="97"/>
      <c r="C35" s="47" t="s">
        <v>142</v>
      </c>
      <c r="D35" s="34" t="s">
        <v>78</v>
      </c>
      <c r="E35" s="54"/>
      <c r="F35" s="51">
        <v>3</v>
      </c>
      <c r="G35" s="48"/>
      <c r="H35" s="43"/>
      <c r="I35" s="43"/>
      <c r="J35" s="40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2"/>
      <c r="V35" s="3"/>
    </row>
    <row r="36" spans="1:22" ht="19.95" customHeight="1" x14ac:dyDescent="0.3">
      <c r="A36" s="93"/>
      <c r="B36" s="97"/>
      <c r="C36" s="47" t="s">
        <v>148</v>
      </c>
      <c r="D36" s="34" t="s">
        <v>22</v>
      </c>
      <c r="E36" s="54"/>
      <c r="F36" s="51">
        <v>2</v>
      </c>
      <c r="G36" s="48"/>
      <c r="H36" s="43"/>
      <c r="I36" s="43"/>
      <c r="J36" s="40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2"/>
      <c r="V36" s="3"/>
    </row>
    <row r="37" spans="1:22" ht="19.95" customHeight="1" x14ac:dyDescent="0.3">
      <c r="A37" s="93"/>
      <c r="B37" s="97"/>
      <c r="C37" s="47" t="s">
        <v>96</v>
      </c>
      <c r="D37" s="34" t="s">
        <v>78</v>
      </c>
      <c r="E37" s="54"/>
      <c r="F37" s="51">
        <v>3</v>
      </c>
      <c r="G37" s="48"/>
      <c r="H37" s="43"/>
      <c r="I37" s="43"/>
      <c r="J37" s="40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2"/>
      <c r="V37" s="3"/>
    </row>
    <row r="38" spans="1:22" ht="19.95" customHeight="1" x14ac:dyDescent="0.3">
      <c r="A38" s="93"/>
      <c r="B38" s="97"/>
      <c r="C38" s="47" t="s">
        <v>97</v>
      </c>
      <c r="D38" s="34" t="s">
        <v>79</v>
      </c>
      <c r="E38" s="54"/>
      <c r="F38" s="51">
        <v>2</v>
      </c>
      <c r="G38" s="48"/>
      <c r="H38" s="43"/>
      <c r="I38" s="43"/>
      <c r="J38" s="43"/>
      <c r="K38" s="40"/>
      <c r="L38" s="43"/>
      <c r="M38" s="43"/>
      <c r="N38" s="43"/>
      <c r="O38" s="43"/>
      <c r="P38" s="43"/>
      <c r="Q38" s="43"/>
      <c r="R38" s="43"/>
      <c r="S38" s="43"/>
      <c r="T38" s="43"/>
      <c r="U38" s="2"/>
      <c r="V38" s="3"/>
    </row>
    <row r="39" spans="1:22" ht="19.95" customHeight="1" x14ac:dyDescent="0.3">
      <c r="A39" s="93"/>
      <c r="B39" s="97"/>
      <c r="C39" s="47" t="s">
        <v>98</v>
      </c>
      <c r="D39" s="34" t="s">
        <v>78</v>
      </c>
      <c r="E39" s="54"/>
      <c r="F39" s="51">
        <v>2</v>
      </c>
      <c r="G39" s="48"/>
      <c r="H39" s="43"/>
      <c r="I39" s="43"/>
      <c r="J39" s="43"/>
      <c r="K39" s="40"/>
      <c r="L39" s="43"/>
      <c r="M39" s="43"/>
      <c r="N39" s="43"/>
      <c r="O39" s="43"/>
      <c r="P39" s="43"/>
      <c r="Q39" s="43"/>
      <c r="R39" s="43"/>
      <c r="S39" s="43"/>
      <c r="T39" s="43"/>
      <c r="U39" s="2"/>
      <c r="V39" s="3"/>
    </row>
    <row r="40" spans="1:22" ht="19.95" customHeight="1" x14ac:dyDescent="0.3">
      <c r="A40" s="93"/>
      <c r="B40" s="97"/>
      <c r="C40" s="47" t="s">
        <v>99</v>
      </c>
      <c r="D40" s="34" t="s">
        <v>22</v>
      </c>
      <c r="E40" s="54"/>
      <c r="F40" s="51">
        <v>2</v>
      </c>
      <c r="G40" s="48"/>
      <c r="H40" s="43"/>
      <c r="I40" s="43"/>
      <c r="J40" s="43"/>
      <c r="K40" s="40"/>
      <c r="L40" s="43"/>
      <c r="M40" s="43"/>
      <c r="N40" s="43"/>
      <c r="O40" s="43"/>
      <c r="P40" s="43"/>
      <c r="Q40" s="43"/>
      <c r="R40" s="43"/>
      <c r="S40" s="43"/>
      <c r="T40" s="43"/>
      <c r="U40" s="2"/>
      <c r="V40" s="3"/>
    </row>
    <row r="41" spans="1:22" ht="19.95" customHeight="1" x14ac:dyDescent="0.3">
      <c r="A41" s="93"/>
      <c r="B41" s="97"/>
      <c r="C41" s="35" t="s">
        <v>44</v>
      </c>
      <c r="D41" s="34" t="s">
        <v>17</v>
      </c>
      <c r="E41" s="54"/>
      <c r="F41" s="51">
        <v>10</v>
      </c>
      <c r="G41" s="48"/>
      <c r="H41" s="43"/>
      <c r="I41" s="43"/>
      <c r="J41" s="43"/>
      <c r="K41" s="40"/>
      <c r="L41" s="43"/>
      <c r="M41" s="43"/>
      <c r="N41" s="43"/>
      <c r="O41" s="43"/>
      <c r="P41" s="43"/>
      <c r="Q41" s="43"/>
      <c r="R41" s="43"/>
      <c r="S41" s="43"/>
      <c r="T41" s="43"/>
      <c r="U41" s="2"/>
      <c r="V41" s="3"/>
    </row>
    <row r="42" spans="1:22" ht="19.95" customHeight="1" x14ac:dyDescent="0.3">
      <c r="A42" s="93"/>
      <c r="B42" s="99" t="s">
        <v>11</v>
      </c>
      <c r="C42" s="47" t="s">
        <v>100</v>
      </c>
      <c r="D42" s="50" t="s">
        <v>43</v>
      </c>
      <c r="E42" s="54"/>
      <c r="F42" s="14">
        <v>3</v>
      </c>
      <c r="G42" s="48"/>
      <c r="H42" s="43"/>
      <c r="I42" s="43"/>
      <c r="J42" s="43"/>
      <c r="K42" s="43"/>
      <c r="L42" s="43"/>
      <c r="M42" s="40"/>
      <c r="N42" s="43"/>
      <c r="O42" s="43"/>
      <c r="P42" s="43"/>
      <c r="Q42" s="43"/>
      <c r="R42" s="43"/>
      <c r="S42" s="43"/>
      <c r="T42" s="43"/>
      <c r="U42" s="2"/>
      <c r="V42" s="3"/>
    </row>
    <row r="43" spans="1:22" ht="19.95" customHeight="1" x14ac:dyDescent="0.3">
      <c r="A43" s="93"/>
      <c r="B43" s="99"/>
      <c r="C43" s="47" t="s">
        <v>101</v>
      </c>
      <c r="D43" s="50" t="s">
        <v>40</v>
      </c>
      <c r="E43" s="54"/>
      <c r="F43" s="14">
        <v>2</v>
      </c>
      <c r="G43" s="48"/>
      <c r="H43" s="43"/>
      <c r="I43" s="43"/>
      <c r="J43" s="43"/>
      <c r="K43" s="43"/>
      <c r="L43" s="43"/>
      <c r="M43" s="40"/>
      <c r="N43" s="43"/>
      <c r="O43" s="43"/>
      <c r="P43" s="43"/>
      <c r="Q43" s="43"/>
      <c r="R43" s="43"/>
      <c r="S43" s="43"/>
      <c r="T43" s="43"/>
      <c r="U43" s="2"/>
      <c r="V43" s="3"/>
    </row>
    <row r="44" spans="1:22" ht="19.95" customHeight="1" x14ac:dyDescent="0.3">
      <c r="A44" s="93"/>
      <c r="B44" s="99"/>
      <c r="C44" s="47" t="s">
        <v>102</v>
      </c>
      <c r="D44" s="50" t="s">
        <v>43</v>
      </c>
      <c r="E44" s="54"/>
      <c r="F44" s="14">
        <v>1</v>
      </c>
      <c r="G44" s="48"/>
      <c r="H44" s="43"/>
      <c r="I44" s="43"/>
      <c r="J44" s="43"/>
      <c r="K44" s="43"/>
      <c r="L44" s="43"/>
      <c r="M44" s="40"/>
      <c r="N44" s="43"/>
      <c r="O44" s="43"/>
      <c r="P44" s="43"/>
      <c r="Q44" s="43"/>
      <c r="R44" s="43"/>
      <c r="S44" s="43"/>
      <c r="T44" s="43"/>
      <c r="U44" s="2"/>
      <c r="V44" s="3"/>
    </row>
    <row r="45" spans="1:22" ht="19.95" customHeight="1" x14ac:dyDescent="0.3">
      <c r="A45" s="93"/>
      <c r="B45" s="99"/>
      <c r="C45" s="47" t="s">
        <v>103</v>
      </c>
      <c r="D45" s="50" t="s">
        <v>40</v>
      </c>
      <c r="E45" s="54"/>
      <c r="F45" s="14">
        <v>2</v>
      </c>
      <c r="G45" s="48"/>
      <c r="H45" s="43"/>
      <c r="I45" s="43"/>
      <c r="J45" s="43"/>
      <c r="K45" s="43"/>
      <c r="L45" s="43"/>
      <c r="M45" s="40"/>
      <c r="N45" s="43"/>
      <c r="O45" s="43"/>
      <c r="P45" s="43"/>
      <c r="Q45" s="43"/>
      <c r="R45" s="43"/>
      <c r="S45" s="43"/>
      <c r="T45" s="43"/>
      <c r="U45" s="2"/>
      <c r="V45" s="3"/>
    </row>
    <row r="46" spans="1:22" ht="19.95" customHeight="1" x14ac:dyDescent="0.3">
      <c r="A46" s="93"/>
      <c r="B46" s="99"/>
      <c r="C46" s="47" t="s">
        <v>143</v>
      </c>
      <c r="D46" s="50" t="s">
        <v>43</v>
      </c>
      <c r="E46" s="54"/>
      <c r="F46" s="14">
        <v>3</v>
      </c>
      <c r="G46" s="48"/>
      <c r="H46" s="43"/>
      <c r="I46" s="43"/>
      <c r="J46" s="43"/>
      <c r="K46" s="43"/>
      <c r="L46" s="43"/>
      <c r="M46" s="43"/>
      <c r="N46" s="40"/>
      <c r="O46" s="43"/>
      <c r="P46" s="43"/>
      <c r="Q46" s="43"/>
      <c r="R46" s="43"/>
      <c r="S46" s="43"/>
      <c r="T46" s="43"/>
      <c r="U46" s="2"/>
      <c r="V46" s="3"/>
    </row>
    <row r="47" spans="1:22" ht="19.95" customHeight="1" x14ac:dyDescent="0.3">
      <c r="A47" s="93"/>
      <c r="B47" s="99"/>
      <c r="C47" s="47" t="s">
        <v>149</v>
      </c>
      <c r="D47" s="50" t="s">
        <v>40</v>
      </c>
      <c r="E47" s="54"/>
      <c r="F47" s="14">
        <v>2</v>
      </c>
      <c r="G47" s="48"/>
      <c r="H47" s="43"/>
      <c r="I47" s="43"/>
      <c r="J47" s="43"/>
      <c r="K47" s="43"/>
      <c r="L47" s="43"/>
      <c r="M47" s="43"/>
      <c r="N47" s="40"/>
      <c r="O47" s="43"/>
      <c r="P47" s="43"/>
      <c r="Q47" s="43"/>
      <c r="R47" s="43"/>
      <c r="S47" s="43"/>
      <c r="T47" s="43"/>
      <c r="U47" s="2"/>
      <c r="V47" s="3"/>
    </row>
    <row r="48" spans="1:22" ht="19.95" customHeight="1" x14ac:dyDescent="0.3">
      <c r="A48" s="93"/>
      <c r="B48" s="99"/>
      <c r="C48" s="47" t="s">
        <v>104</v>
      </c>
      <c r="D48" s="50" t="s">
        <v>43</v>
      </c>
      <c r="E48" s="54"/>
      <c r="F48" s="14">
        <v>3</v>
      </c>
      <c r="G48" s="48"/>
      <c r="H48" s="43"/>
      <c r="I48" s="43"/>
      <c r="J48" s="43"/>
      <c r="K48" s="43"/>
      <c r="L48" s="43"/>
      <c r="M48" s="43"/>
      <c r="N48" s="40"/>
      <c r="O48" s="43"/>
      <c r="P48" s="43"/>
      <c r="Q48" s="43"/>
      <c r="R48" s="43"/>
      <c r="S48" s="43"/>
      <c r="T48" s="43"/>
      <c r="U48" s="2"/>
      <c r="V48" s="3"/>
    </row>
    <row r="49" spans="1:22" ht="19.95" customHeight="1" x14ac:dyDescent="0.3">
      <c r="A49" s="93"/>
      <c r="B49" s="99"/>
      <c r="C49" s="47" t="s">
        <v>105</v>
      </c>
      <c r="D49" s="50" t="s">
        <v>40</v>
      </c>
      <c r="E49" s="54"/>
      <c r="F49" s="14">
        <v>3</v>
      </c>
      <c r="G49" s="48"/>
      <c r="H49" s="43"/>
      <c r="I49" s="43"/>
      <c r="J49" s="43"/>
      <c r="K49" s="43"/>
      <c r="L49" s="43"/>
      <c r="M49" s="43"/>
      <c r="N49" s="44"/>
      <c r="O49" s="43"/>
      <c r="P49" s="43"/>
      <c r="Q49" s="43"/>
      <c r="R49" s="43"/>
      <c r="S49" s="43"/>
      <c r="T49" s="43"/>
      <c r="U49" s="2"/>
      <c r="V49" s="3"/>
    </row>
    <row r="50" spans="1:22" ht="19.95" customHeight="1" x14ac:dyDescent="0.3">
      <c r="A50" s="93"/>
      <c r="B50" s="99"/>
      <c r="C50" s="47" t="s">
        <v>106</v>
      </c>
      <c r="D50" s="50" t="s">
        <v>43</v>
      </c>
      <c r="E50" s="54"/>
      <c r="F50" s="14">
        <v>3</v>
      </c>
      <c r="G50" s="48"/>
      <c r="H50" s="43"/>
      <c r="I50" s="43"/>
      <c r="J50" s="43"/>
      <c r="K50" s="43"/>
      <c r="L50" s="43"/>
      <c r="M50" s="43"/>
      <c r="N50" s="43"/>
      <c r="O50" s="40"/>
      <c r="P50" s="43"/>
      <c r="Q50" s="43"/>
      <c r="R50" s="43"/>
      <c r="S50" s="43"/>
      <c r="T50" s="43"/>
      <c r="U50" s="2"/>
      <c r="V50" s="3"/>
    </row>
    <row r="51" spans="1:22" ht="19.95" customHeight="1" x14ac:dyDescent="0.3">
      <c r="A51" s="93"/>
      <c r="B51" s="99"/>
      <c r="C51" s="47" t="s">
        <v>107</v>
      </c>
      <c r="D51" s="50" t="s">
        <v>40</v>
      </c>
      <c r="E51" s="54"/>
      <c r="F51" s="14">
        <v>2</v>
      </c>
      <c r="G51" s="48"/>
      <c r="H51" s="43"/>
      <c r="I51" s="43"/>
      <c r="J51" s="43"/>
      <c r="K51" s="43"/>
      <c r="L51" s="43"/>
      <c r="M51" s="43"/>
      <c r="N51" s="43"/>
      <c r="O51" s="40"/>
      <c r="P51" s="43"/>
      <c r="Q51" s="43"/>
      <c r="R51" s="43"/>
      <c r="S51" s="43"/>
      <c r="T51" s="43"/>
      <c r="U51" s="2"/>
      <c r="V51" s="3"/>
    </row>
    <row r="52" spans="1:22" ht="19.95" customHeight="1" x14ac:dyDescent="0.3">
      <c r="A52" s="93"/>
      <c r="B52" s="99"/>
      <c r="C52" s="47" t="s">
        <v>108</v>
      </c>
      <c r="D52" s="50" t="s">
        <v>43</v>
      </c>
      <c r="E52" s="54"/>
      <c r="F52" s="14">
        <v>2</v>
      </c>
      <c r="G52" s="48"/>
      <c r="H52" s="43"/>
      <c r="I52" s="43"/>
      <c r="J52" s="43"/>
      <c r="K52" s="43"/>
      <c r="L52" s="43"/>
      <c r="M52" s="43"/>
      <c r="N52" s="43"/>
      <c r="O52" s="40"/>
      <c r="P52" s="43"/>
      <c r="Q52" s="43"/>
      <c r="R52" s="43"/>
      <c r="S52" s="43"/>
      <c r="T52" s="43"/>
      <c r="U52" s="2"/>
      <c r="V52" s="3"/>
    </row>
    <row r="53" spans="1:22" ht="19.95" customHeight="1" x14ac:dyDescent="0.3">
      <c r="A53" s="93"/>
      <c r="B53" s="99"/>
      <c r="C53" s="47" t="s">
        <v>109</v>
      </c>
      <c r="D53" s="50" t="s">
        <v>40</v>
      </c>
      <c r="E53" s="54"/>
      <c r="F53" s="14">
        <v>3</v>
      </c>
      <c r="G53" s="48"/>
      <c r="H53" s="43"/>
      <c r="I53" s="43"/>
      <c r="J53" s="43"/>
      <c r="K53" s="43"/>
      <c r="L53" s="43"/>
      <c r="M53" s="43"/>
      <c r="N53" s="43"/>
      <c r="O53" s="44"/>
      <c r="P53" s="43"/>
      <c r="Q53" s="43"/>
      <c r="R53" s="43"/>
      <c r="S53" s="43"/>
      <c r="T53" s="43"/>
      <c r="U53" s="2"/>
      <c r="V53" s="3"/>
    </row>
    <row r="54" spans="1:22" ht="19.95" customHeight="1" x14ac:dyDescent="0.3">
      <c r="A54" s="93"/>
      <c r="B54" s="99"/>
      <c r="C54" s="47" t="s">
        <v>110</v>
      </c>
      <c r="D54" s="50" t="s">
        <v>43</v>
      </c>
      <c r="E54" s="54"/>
      <c r="F54" s="14">
        <v>1</v>
      </c>
      <c r="G54" s="48"/>
      <c r="H54" s="43"/>
      <c r="I54" s="43"/>
      <c r="J54" s="43"/>
      <c r="K54" s="43"/>
      <c r="L54" s="43"/>
      <c r="M54" s="43"/>
      <c r="N54" s="43"/>
      <c r="O54" s="40"/>
      <c r="P54" s="43"/>
      <c r="Q54" s="43"/>
      <c r="R54" s="43"/>
      <c r="S54" s="43"/>
      <c r="T54" s="43"/>
      <c r="U54" s="2"/>
      <c r="V54" s="3"/>
    </row>
    <row r="55" spans="1:22" ht="19.95" customHeight="1" x14ac:dyDescent="0.3">
      <c r="A55" s="93"/>
      <c r="B55" s="99"/>
      <c r="C55" s="47" t="s">
        <v>111</v>
      </c>
      <c r="D55" s="50" t="s">
        <v>40</v>
      </c>
      <c r="E55" s="54"/>
      <c r="F55" s="14">
        <v>2</v>
      </c>
      <c r="G55" s="48"/>
      <c r="H55" s="43"/>
      <c r="I55" s="43"/>
      <c r="J55" s="43"/>
      <c r="K55" s="43"/>
      <c r="L55" s="43"/>
      <c r="M55" s="40"/>
      <c r="N55" s="43"/>
      <c r="O55" s="43"/>
      <c r="P55" s="43"/>
      <c r="Q55" s="43"/>
      <c r="R55" s="43"/>
      <c r="S55" s="43"/>
      <c r="T55" s="43"/>
      <c r="U55" s="2"/>
      <c r="V55" s="3"/>
    </row>
    <row r="56" spans="1:22" ht="19.95" customHeight="1" x14ac:dyDescent="0.3">
      <c r="A56" s="93"/>
      <c r="B56" s="99"/>
      <c r="C56" s="47" t="s">
        <v>144</v>
      </c>
      <c r="D56" s="50" t="s">
        <v>43</v>
      </c>
      <c r="E56" s="54"/>
      <c r="F56" s="14">
        <v>3</v>
      </c>
      <c r="G56" s="48"/>
      <c r="H56" s="43"/>
      <c r="I56" s="43"/>
      <c r="J56" s="43"/>
      <c r="K56" s="43"/>
      <c r="L56" s="43"/>
      <c r="M56" s="40"/>
      <c r="N56" s="43"/>
      <c r="O56" s="43"/>
      <c r="P56" s="43"/>
      <c r="Q56" s="43"/>
      <c r="R56" s="43"/>
      <c r="S56" s="43"/>
      <c r="T56" s="43"/>
      <c r="U56" s="2"/>
      <c r="V56" s="3"/>
    </row>
    <row r="57" spans="1:22" ht="19.95" customHeight="1" x14ac:dyDescent="0.3">
      <c r="A57" s="93"/>
      <c r="B57" s="99"/>
      <c r="C57" s="47" t="s">
        <v>150</v>
      </c>
      <c r="D57" s="50" t="s">
        <v>40</v>
      </c>
      <c r="E57" s="54"/>
      <c r="F57" s="14">
        <v>2</v>
      </c>
      <c r="G57" s="48"/>
      <c r="H57" s="43"/>
      <c r="I57" s="43"/>
      <c r="J57" s="43"/>
      <c r="K57" s="43"/>
      <c r="L57" s="43"/>
      <c r="M57" s="40"/>
      <c r="N57" s="43"/>
      <c r="O57" s="43"/>
      <c r="P57" s="43"/>
      <c r="Q57" s="43"/>
      <c r="R57" s="43"/>
      <c r="S57" s="43"/>
      <c r="T57" s="43"/>
      <c r="U57" s="2"/>
      <c r="V57" s="3"/>
    </row>
    <row r="58" spans="1:22" ht="19.95" customHeight="1" x14ac:dyDescent="0.3">
      <c r="A58" s="93"/>
      <c r="B58" s="99"/>
      <c r="C58" s="47" t="s">
        <v>112</v>
      </c>
      <c r="D58" s="50" t="s">
        <v>43</v>
      </c>
      <c r="E58" s="54"/>
      <c r="F58" s="14">
        <v>3</v>
      </c>
      <c r="G58" s="48"/>
      <c r="H58" s="43"/>
      <c r="I58" s="43"/>
      <c r="J58" s="43"/>
      <c r="K58" s="43"/>
      <c r="L58" s="43"/>
      <c r="M58" s="40"/>
      <c r="N58" s="43"/>
      <c r="O58" s="43"/>
      <c r="P58" s="43"/>
      <c r="Q58" s="43"/>
      <c r="R58" s="43"/>
      <c r="S58" s="43"/>
      <c r="T58" s="43"/>
      <c r="U58" s="2"/>
      <c r="V58" s="3"/>
    </row>
    <row r="59" spans="1:22" ht="19.95" customHeight="1" x14ac:dyDescent="0.3">
      <c r="A59" s="93"/>
      <c r="B59" s="99"/>
      <c r="C59" s="47" t="s">
        <v>113</v>
      </c>
      <c r="D59" s="50" t="s">
        <v>40</v>
      </c>
      <c r="E59" s="54"/>
      <c r="F59" s="14">
        <v>3</v>
      </c>
      <c r="G59" s="48"/>
      <c r="H59" s="43"/>
      <c r="I59" s="43"/>
      <c r="J59" s="43"/>
      <c r="K59" s="43"/>
      <c r="L59" s="43"/>
      <c r="M59" s="43"/>
      <c r="N59" s="40"/>
      <c r="O59" s="43"/>
      <c r="P59" s="43"/>
      <c r="Q59" s="43"/>
      <c r="R59" s="43"/>
      <c r="S59" s="43"/>
      <c r="T59" s="43"/>
      <c r="U59" s="2"/>
      <c r="V59" s="3"/>
    </row>
    <row r="60" spans="1:22" ht="19.95" customHeight="1" x14ac:dyDescent="0.3">
      <c r="A60" s="93"/>
      <c r="B60" s="99"/>
      <c r="C60" s="47" t="s">
        <v>114</v>
      </c>
      <c r="D60" s="50" t="s">
        <v>43</v>
      </c>
      <c r="E60" s="54"/>
      <c r="F60" s="14">
        <v>3</v>
      </c>
      <c r="G60" s="48"/>
      <c r="H60" s="43"/>
      <c r="I60" s="43"/>
      <c r="J60" s="43"/>
      <c r="K60" s="43"/>
      <c r="L60" s="43"/>
      <c r="M60" s="43"/>
      <c r="N60" s="40"/>
      <c r="O60" s="43"/>
      <c r="P60" s="43"/>
      <c r="Q60" s="43"/>
      <c r="R60" s="43"/>
      <c r="S60" s="43"/>
      <c r="T60" s="43"/>
      <c r="U60" s="2"/>
      <c r="V60" s="3"/>
    </row>
    <row r="61" spans="1:22" ht="19.95" customHeight="1" x14ac:dyDescent="0.3">
      <c r="A61" s="93"/>
      <c r="B61" s="99"/>
      <c r="C61" s="47" t="s">
        <v>115</v>
      </c>
      <c r="D61" s="50" t="s">
        <v>40</v>
      </c>
      <c r="E61" s="54"/>
      <c r="F61" s="14">
        <v>2</v>
      </c>
      <c r="G61" s="48"/>
      <c r="H61" s="43"/>
      <c r="I61" s="43"/>
      <c r="J61" s="43"/>
      <c r="K61" s="43"/>
      <c r="L61" s="43"/>
      <c r="M61" s="43"/>
      <c r="N61" s="40"/>
      <c r="O61" s="43"/>
      <c r="P61" s="43"/>
      <c r="Q61" s="43"/>
      <c r="R61" s="43"/>
      <c r="S61" s="43"/>
      <c r="T61" s="43"/>
      <c r="U61" s="2"/>
      <c r="V61" s="3"/>
    </row>
    <row r="62" spans="1:22" ht="19.95" customHeight="1" x14ac:dyDescent="0.3">
      <c r="A62" s="93"/>
      <c r="B62" s="99"/>
      <c r="C62" s="35" t="s">
        <v>45</v>
      </c>
      <c r="D62" s="50" t="s">
        <v>17</v>
      </c>
      <c r="E62" s="54"/>
      <c r="F62" s="50">
        <v>4</v>
      </c>
      <c r="G62" s="48"/>
      <c r="H62" s="43"/>
      <c r="I62" s="43"/>
      <c r="J62" s="43"/>
      <c r="K62" s="43"/>
      <c r="L62" s="43"/>
      <c r="M62" s="43"/>
      <c r="N62" s="44"/>
      <c r="O62" s="43"/>
      <c r="P62" s="43"/>
      <c r="Q62" s="43"/>
      <c r="R62" s="43"/>
      <c r="S62" s="43"/>
      <c r="T62" s="43"/>
      <c r="U62" s="2"/>
      <c r="V62" s="3"/>
    </row>
    <row r="63" spans="1:22" ht="19.95" customHeight="1" x14ac:dyDescent="0.3">
      <c r="A63" s="93"/>
      <c r="B63" s="99" t="s">
        <v>12</v>
      </c>
      <c r="C63" s="47" t="s">
        <v>116</v>
      </c>
      <c r="D63" s="50" t="s">
        <v>78</v>
      </c>
      <c r="E63" s="54"/>
      <c r="F63" s="14">
        <v>1</v>
      </c>
      <c r="G63" s="48"/>
      <c r="H63" s="43"/>
      <c r="I63" s="43"/>
      <c r="J63" s="43"/>
      <c r="K63" s="43"/>
      <c r="L63" s="43"/>
      <c r="M63" s="43"/>
      <c r="N63" s="43"/>
      <c r="O63" s="43"/>
      <c r="P63" s="40"/>
      <c r="Q63" s="43"/>
      <c r="R63" s="43"/>
      <c r="S63" s="43"/>
      <c r="T63" s="43"/>
      <c r="U63" s="2"/>
      <c r="V63" s="3"/>
    </row>
    <row r="64" spans="1:22" ht="19.95" customHeight="1" x14ac:dyDescent="0.3">
      <c r="A64" s="93"/>
      <c r="B64" s="99"/>
      <c r="C64" s="47" t="s">
        <v>117</v>
      </c>
      <c r="D64" s="50" t="s">
        <v>79</v>
      </c>
      <c r="E64" s="54"/>
      <c r="F64" s="14">
        <v>1</v>
      </c>
      <c r="G64" s="48"/>
      <c r="H64" s="43"/>
      <c r="I64" s="43"/>
      <c r="J64" s="43"/>
      <c r="K64" s="43"/>
      <c r="L64" s="43"/>
      <c r="M64" s="43"/>
      <c r="N64" s="43"/>
      <c r="O64" s="43"/>
      <c r="P64" s="40"/>
      <c r="Q64" s="43"/>
      <c r="R64" s="43"/>
      <c r="S64" s="43"/>
      <c r="T64" s="43"/>
      <c r="U64" s="2"/>
      <c r="V64" s="3"/>
    </row>
    <row r="65" spans="1:22" ht="19.95" customHeight="1" x14ac:dyDescent="0.3">
      <c r="A65" s="93"/>
      <c r="B65" s="99"/>
      <c r="C65" s="47" t="s">
        <v>118</v>
      </c>
      <c r="D65" s="50" t="s">
        <v>78</v>
      </c>
      <c r="E65" s="54"/>
      <c r="F65" s="14">
        <v>0.5</v>
      </c>
      <c r="G65" s="48"/>
      <c r="H65" s="43"/>
      <c r="I65" s="43"/>
      <c r="J65" s="43"/>
      <c r="K65" s="43"/>
      <c r="L65" s="43"/>
      <c r="M65" s="43"/>
      <c r="N65" s="43"/>
      <c r="O65" s="43"/>
      <c r="P65" s="40"/>
      <c r="Q65" s="43"/>
      <c r="R65" s="43"/>
      <c r="S65" s="43"/>
      <c r="T65" s="43"/>
      <c r="U65" s="2"/>
      <c r="V65" s="3"/>
    </row>
    <row r="66" spans="1:22" ht="19.95" customHeight="1" x14ac:dyDescent="0.3">
      <c r="A66" s="93"/>
      <c r="B66" s="99"/>
      <c r="C66" s="47" t="s">
        <v>119</v>
      </c>
      <c r="D66" s="50" t="s">
        <v>78</v>
      </c>
      <c r="E66" s="54"/>
      <c r="F66" s="14">
        <v>0.5</v>
      </c>
      <c r="G66" s="48"/>
      <c r="H66" s="43"/>
      <c r="I66" s="43"/>
      <c r="J66" s="43"/>
      <c r="K66" s="43"/>
      <c r="L66" s="43"/>
      <c r="M66" s="43"/>
      <c r="N66" s="43"/>
      <c r="O66" s="43"/>
      <c r="P66" s="40"/>
      <c r="Q66" s="43"/>
      <c r="R66" s="43"/>
      <c r="S66" s="43"/>
      <c r="T66" s="43"/>
      <c r="U66" s="2"/>
      <c r="V66" s="3"/>
    </row>
    <row r="67" spans="1:22" ht="19.95" customHeight="1" x14ac:dyDescent="0.3">
      <c r="A67" s="93"/>
      <c r="B67" s="99"/>
      <c r="C67" s="47" t="s">
        <v>145</v>
      </c>
      <c r="D67" s="50" t="s">
        <v>79</v>
      </c>
      <c r="E67" s="54"/>
      <c r="F67" s="14">
        <v>1</v>
      </c>
      <c r="G67" s="48"/>
      <c r="H67" s="43"/>
      <c r="I67" s="43"/>
      <c r="J67" s="43"/>
      <c r="K67" s="43"/>
      <c r="L67" s="43"/>
      <c r="M67" s="43"/>
      <c r="N67" s="43"/>
      <c r="O67" s="43"/>
      <c r="P67" s="40"/>
      <c r="Q67" s="43"/>
      <c r="R67" s="43"/>
      <c r="S67" s="43"/>
      <c r="T67" s="43"/>
      <c r="U67" s="2"/>
      <c r="V67" s="3"/>
    </row>
    <row r="68" spans="1:22" ht="19.95" customHeight="1" x14ac:dyDescent="0.3">
      <c r="A68" s="93"/>
      <c r="B68" s="99"/>
      <c r="C68" s="47" t="s">
        <v>151</v>
      </c>
      <c r="D68" s="50" t="s">
        <v>79</v>
      </c>
      <c r="E68" s="54"/>
      <c r="F68" s="14">
        <v>1</v>
      </c>
      <c r="G68" s="48"/>
      <c r="H68" s="43"/>
      <c r="I68" s="43"/>
      <c r="J68" s="43"/>
      <c r="K68" s="43"/>
      <c r="L68" s="43"/>
      <c r="M68" s="43"/>
      <c r="N68" s="43"/>
      <c r="O68" s="43"/>
      <c r="P68" s="43"/>
      <c r="Q68" s="40"/>
      <c r="R68" s="43"/>
      <c r="S68" s="43"/>
      <c r="T68" s="43"/>
      <c r="U68" s="2"/>
      <c r="V68" s="3"/>
    </row>
    <row r="69" spans="1:22" ht="19.95" customHeight="1" x14ac:dyDescent="0.3">
      <c r="A69" s="93"/>
      <c r="B69" s="99"/>
      <c r="C69" s="47" t="s">
        <v>120</v>
      </c>
      <c r="D69" s="50" t="s">
        <v>22</v>
      </c>
      <c r="E69" s="54"/>
      <c r="F69" s="14">
        <v>2</v>
      </c>
      <c r="G69" s="48"/>
      <c r="H69" s="43"/>
      <c r="I69" s="43"/>
      <c r="J69" s="43"/>
      <c r="K69" s="43"/>
      <c r="L69" s="43"/>
      <c r="M69" s="43"/>
      <c r="N69" s="43"/>
      <c r="O69" s="43"/>
      <c r="P69" s="43"/>
      <c r="Q69" s="40"/>
      <c r="R69" s="43"/>
      <c r="S69" s="43"/>
      <c r="T69" s="43"/>
      <c r="U69" s="2"/>
      <c r="V69" s="3"/>
    </row>
    <row r="70" spans="1:22" ht="19.95" customHeight="1" x14ac:dyDescent="0.3">
      <c r="A70" s="93"/>
      <c r="B70" s="99"/>
      <c r="C70" s="47" t="s">
        <v>121</v>
      </c>
      <c r="D70" s="50" t="s">
        <v>79</v>
      </c>
      <c r="E70" s="54"/>
      <c r="F70" s="14">
        <v>1</v>
      </c>
      <c r="G70" s="48"/>
      <c r="H70" s="43"/>
      <c r="I70" s="43"/>
      <c r="J70" s="43"/>
      <c r="K70" s="43"/>
      <c r="L70" s="43"/>
      <c r="M70" s="43"/>
      <c r="N70" s="43"/>
      <c r="O70" s="43"/>
      <c r="P70" s="43"/>
      <c r="Q70" s="40"/>
      <c r="R70" s="43"/>
      <c r="S70" s="43"/>
      <c r="T70" s="43"/>
      <c r="U70" s="2"/>
      <c r="V70" s="3"/>
    </row>
    <row r="71" spans="1:22" ht="19.95" customHeight="1" x14ac:dyDescent="0.3">
      <c r="A71" s="93"/>
      <c r="B71" s="99"/>
      <c r="C71" s="47" t="s">
        <v>122</v>
      </c>
      <c r="D71" s="50" t="s">
        <v>78</v>
      </c>
      <c r="E71" s="54"/>
      <c r="F71" s="14">
        <v>1</v>
      </c>
      <c r="G71" s="48"/>
      <c r="H71" s="43"/>
      <c r="I71" s="43"/>
      <c r="J71" s="43"/>
      <c r="K71" s="43"/>
      <c r="L71" s="43"/>
      <c r="M71" s="43"/>
      <c r="N71" s="43"/>
      <c r="O71" s="43"/>
      <c r="P71" s="43"/>
      <c r="Q71" s="40"/>
      <c r="R71" s="43"/>
      <c r="S71" s="43"/>
      <c r="T71" s="43"/>
      <c r="U71" s="2"/>
      <c r="V71" s="3"/>
    </row>
    <row r="72" spans="1:22" ht="19.95" customHeight="1" x14ac:dyDescent="0.3">
      <c r="A72" s="93"/>
      <c r="B72" s="99"/>
      <c r="C72" s="47" t="s">
        <v>123</v>
      </c>
      <c r="D72" s="50" t="s">
        <v>22</v>
      </c>
      <c r="E72" s="54"/>
      <c r="F72" s="14">
        <v>1</v>
      </c>
      <c r="G72" s="48"/>
      <c r="H72" s="43"/>
      <c r="I72" s="43"/>
      <c r="J72" s="43"/>
      <c r="K72" s="43"/>
      <c r="L72" s="43"/>
      <c r="M72" s="43"/>
      <c r="N72" s="43"/>
      <c r="O72" s="43"/>
      <c r="P72" s="43"/>
      <c r="Q72" s="40"/>
      <c r="R72" s="43"/>
      <c r="S72" s="43"/>
      <c r="T72" s="43"/>
      <c r="U72" s="2"/>
      <c r="V72" s="3"/>
    </row>
    <row r="73" spans="1:22" ht="19.95" customHeight="1" x14ac:dyDescent="0.3">
      <c r="A73" s="93"/>
      <c r="B73" s="99" t="s">
        <v>46</v>
      </c>
      <c r="C73" s="47" t="s">
        <v>124</v>
      </c>
      <c r="D73" s="50" t="s">
        <v>80</v>
      </c>
      <c r="E73" s="54"/>
      <c r="F73" s="14">
        <v>1</v>
      </c>
      <c r="G73" s="48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0"/>
      <c r="S73" s="43"/>
      <c r="T73" s="43"/>
      <c r="U73" s="2"/>
      <c r="V73" s="3"/>
    </row>
    <row r="74" spans="1:22" ht="19.95" customHeight="1" x14ac:dyDescent="0.3">
      <c r="A74" s="93"/>
      <c r="B74" s="99"/>
      <c r="C74" s="47" t="s">
        <v>125</v>
      </c>
      <c r="D74" s="34" t="s">
        <v>80</v>
      </c>
      <c r="E74" s="54"/>
      <c r="F74" s="14">
        <v>1</v>
      </c>
      <c r="G74" s="48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0"/>
      <c r="S74" s="43"/>
      <c r="T74" s="43"/>
      <c r="U74" s="2"/>
      <c r="V74" s="3"/>
    </row>
    <row r="75" spans="1:22" ht="19.95" customHeight="1" x14ac:dyDescent="0.3">
      <c r="A75" s="93"/>
      <c r="B75" s="99"/>
      <c r="C75" s="47" t="s">
        <v>126</v>
      </c>
      <c r="D75" s="34" t="s">
        <v>80</v>
      </c>
      <c r="E75" s="54"/>
      <c r="F75" s="14">
        <v>0.5</v>
      </c>
      <c r="G75" s="48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0"/>
      <c r="S75" s="43"/>
      <c r="T75" s="43"/>
      <c r="U75" s="2"/>
      <c r="V75" s="3"/>
    </row>
    <row r="76" spans="1:22" ht="19.95" customHeight="1" x14ac:dyDescent="0.3">
      <c r="A76" s="93"/>
      <c r="B76" s="99"/>
      <c r="C76" s="47" t="s">
        <v>127</v>
      </c>
      <c r="D76" s="34" t="s">
        <v>80</v>
      </c>
      <c r="E76" s="54"/>
      <c r="F76" s="14">
        <v>0.5</v>
      </c>
      <c r="G76" s="48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0"/>
      <c r="S76" s="43"/>
      <c r="T76" s="43"/>
      <c r="U76" s="2"/>
      <c r="V76" s="3"/>
    </row>
    <row r="77" spans="1:22" ht="19.95" customHeight="1" x14ac:dyDescent="0.3">
      <c r="A77" s="93"/>
      <c r="B77" s="99"/>
      <c r="C77" s="47" t="s">
        <v>146</v>
      </c>
      <c r="D77" s="34" t="s">
        <v>80</v>
      </c>
      <c r="E77" s="54"/>
      <c r="F77" s="14">
        <v>1</v>
      </c>
      <c r="G77" s="48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0"/>
      <c r="S77" s="43"/>
      <c r="T77" s="43"/>
      <c r="U77" s="2"/>
      <c r="V77" s="3"/>
    </row>
    <row r="78" spans="1:22" ht="19.95" customHeight="1" x14ac:dyDescent="0.3">
      <c r="A78" s="93"/>
      <c r="B78" s="99"/>
      <c r="C78" s="47" t="s">
        <v>152</v>
      </c>
      <c r="D78" s="34" t="s">
        <v>80</v>
      </c>
      <c r="E78" s="54"/>
      <c r="F78" s="14">
        <v>1</v>
      </c>
      <c r="G78" s="48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0"/>
      <c r="S78" s="43"/>
      <c r="T78" s="43"/>
      <c r="U78" s="2"/>
      <c r="V78" s="3"/>
    </row>
    <row r="79" spans="1:22" ht="19.95" customHeight="1" x14ac:dyDescent="0.3">
      <c r="A79" s="93"/>
      <c r="B79" s="99"/>
      <c r="C79" s="47" t="s">
        <v>128</v>
      </c>
      <c r="D79" s="34" t="s">
        <v>80</v>
      </c>
      <c r="E79" s="54"/>
      <c r="F79" s="14">
        <v>2</v>
      </c>
      <c r="G79" s="48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0"/>
      <c r="S79" s="43"/>
      <c r="T79" s="43"/>
      <c r="U79" s="2"/>
      <c r="V79" s="3"/>
    </row>
    <row r="80" spans="1:22" ht="19.95" customHeight="1" x14ac:dyDescent="0.3">
      <c r="A80" s="93"/>
      <c r="B80" s="99"/>
      <c r="C80" s="47" t="s">
        <v>129</v>
      </c>
      <c r="D80" s="34" t="s">
        <v>80</v>
      </c>
      <c r="E80" s="54"/>
      <c r="F80" s="14">
        <v>1</v>
      </c>
      <c r="G80" s="48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0"/>
      <c r="S80" s="43"/>
      <c r="T80" s="43"/>
      <c r="U80" s="2"/>
      <c r="V80" s="3"/>
    </row>
    <row r="81" spans="1:22" ht="19.95" customHeight="1" x14ac:dyDescent="0.3">
      <c r="A81" s="93"/>
      <c r="B81" s="99"/>
      <c r="C81" s="47" t="s">
        <v>130</v>
      </c>
      <c r="D81" s="34" t="s">
        <v>80</v>
      </c>
      <c r="E81" s="54"/>
      <c r="F81" s="14">
        <v>1</v>
      </c>
      <c r="G81" s="48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0"/>
      <c r="S81" s="43"/>
      <c r="T81" s="43"/>
      <c r="U81" s="2"/>
      <c r="V81" s="3"/>
    </row>
    <row r="82" spans="1:22" ht="19.95" customHeight="1" x14ac:dyDescent="0.3">
      <c r="A82" s="93"/>
      <c r="B82" s="99"/>
      <c r="C82" s="47" t="s">
        <v>131</v>
      </c>
      <c r="D82" s="34" t="s">
        <v>80</v>
      </c>
      <c r="E82" s="54"/>
      <c r="F82" s="14">
        <v>1</v>
      </c>
      <c r="G82" s="48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0"/>
      <c r="S82" s="43"/>
      <c r="T82" s="43"/>
      <c r="U82" s="2"/>
      <c r="V82" s="3"/>
    </row>
    <row r="83" spans="1:22" ht="19.95" customHeight="1" x14ac:dyDescent="0.3">
      <c r="A83" s="93"/>
      <c r="B83" s="99" t="s">
        <v>16</v>
      </c>
      <c r="C83" s="47" t="s">
        <v>132</v>
      </c>
      <c r="D83" s="34" t="s">
        <v>78</v>
      </c>
      <c r="E83" s="54"/>
      <c r="F83" s="50">
        <v>1</v>
      </c>
      <c r="G83" s="57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0"/>
      <c r="T83" s="43"/>
      <c r="U83" s="2"/>
      <c r="V83" s="3"/>
    </row>
    <row r="84" spans="1:22" ht="19.95" customHeight="1" x14ac:dyDescent="0.3">
      <c r="A84" s="93"/>
      <c r="B84" s="99"/>
      <c r="C84" s="47" t="s">
        <v>133</v>
      </c>
      <c r="D84" s="34" t="s">
        <v>79</v>
      </c>
      <c r="E84" s="54"/>
      <c r="F84" s="50">
        <v>1</v>
      </c>
      <c r="G84" s="48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0"/>
      <c r="T84" s="43"/>
      <c r="U84" s="2"/>
      <c r="V84" s="3"/>
    </row>
    <row r="85" spans="1:22" ht="19.95" customHeight="1" x14ac:dyDescent="0.3">
      <c r="A85" s="93"/>
      <c r="B85" s="99"/>
      <c r="C85" s="47" t="s">
        <v>134</v>
      </c>
      <c r="D85" s="34" t="s">
        <v>78</v>
      </c>
      <c r="E85" s="54"/>
      <c r="F85" s="50">
        <v>2</v>
      </c>
      <c r="G85" s="48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0"/>
      <c r="T85" s="43"/>
      <c r="U85" s="2"/>
      <c r="V85" s="3"/>
    </row>
    <row r="86" spans="1:22" ht="19.95" customHeight="1" x14ac:dyDescent="0.3">
      <c r="A86" s="93"/>
      <c r="B86" s="99"/>
      <c r="C86" s="47" t="s">
        <v>135</v>
      </c>
      <c r="D86" s="34" t="s">
        <v>78</v>
      </c>
      <c r="E86" s="54"/>
      <c r="F86" s="50">
        <v>2</v>
      </c>
      <c r="G86" s="48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0"/>
      <c r="T86" s="43"/>
      <c r="U86" s="2"/>
      <c r="V86" s="3"/>
    </row>
    <row r="87" spans="1:22" ht="19.95" customHeight="1" x14ac:dyDescent="0.3">
      <c r="A87" s="93"/>
      <c r="B87" s="99"/>
      <c r="C87" s="47" t="s">
        <v>147</v>
      </c>
      <c r="D87" s="34" t="s">
        <v>79</v>
      </c>
      <c r="E87" s="54"/>
      <c r="F87" s="50">
        <v>2</v>
      </c>
      <c r="G87" s="48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0"/>
      <c r="T87" s="43"/>
      <c r="U87" s="2"/>
      <c r="V87" s="3"/>
    </row>
    <row r="88" spans="1:22" ht="19.95" customHeight="1" x14ac:dyDescent="0.3">
      <c r="A88" s="93"/>
      <c r="B88" s="99"/>
      <c r="C88" s="47" t="s">
        <v>153</v>
      </c>
      <c r="D88" s="34" t="s">
        <v>79</v>
      </c>
      <c r="E88" s="54"/>
      <c r="F88" s="50">
        <v>2</v>
      </c>
      <c r="G88" s="48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0"/>
      <c r="T88" s="43"/>
      <c r="U88" s="2"/>
      <c r="V88" s="3"/>
    </row>
    <row r="89" spans="1:22" ht="19.95" customHeight="1" x14ac:dyDescent="0.3">
      <c r="A89" s="93"/>
      <c r="B89" s="99"/>
      <c r="C89" s="47" t="s">
        <v>136</v>
      </c>
      <c r="D89" s="34" t="s">
        <v>22</v>
      </c>
      <c r="E89" s="54"/>
      <c r="F89" s="50">
        <v>2</v>
      </c>
      <c r="G89" s="48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0"/>
      <c r="T89" s="43"/>
      <c r="U89" s="2"/>
      <c r="V89" s="3"/>
    </row>
    <row r="90" spans="1:22" ht="19.95" customHeight="1" x14ac:dyDescent="0.3">
      <c r="A90" s="93"/>
      <c r="B90" s="99"/>
      <c r="C90" s="47" t="s">
        <v>137</v>
      </c>
      <c r="D90" s="34" t="s">
        <v>22</v>
      </c>
      <c r="E90" s="54"/>
      <c r="F90" s="50">
        <v>2</v>
      </c>
      <c r="G90" s="48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0"/>
      <c r="T90" s="43"/>
      <c r="U90" s="2"/>
      <c r="V90" s="3"/>
    </row>
    <row r="91" spans="1:22" ht="19.95" customHeight="1" x14ac:dyDescent="0.3">
      <c r="A91" s="93"/>
      <c r="B91" s="99"/>
      <c r="C91" s="47" t="s">
        <v>138</v>
      </c>
      <c r="D91" s="34" t="s">
        <v>78</v>
      </c>
      <c r="E91" s="54"/>
      <c r="F91" s="50">
        <v>2</v>
      </c>
      <c r="G91" s="48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0"/>
      <c r="T91" s="43"/>
      <c r="U91" s="2"/>
      <c r="V91" s="3"/>
    </row>
    <row r="92" spans="1:22" ht="19.95" customHeight="1" x14ac:dyDescent="0.3">
      <c r="A92" s="93"/>
      <c r="B92" s="99"/>
      <c r="C92" s="47" t="s">
        <v>139</v>
      </c>
      <c r="D92" s="34" t="s">
        <v>79</v>
      </c>
      <c r="E92" s="54"/>
      <c r="F92" s="50">
        <v>2</v>
      </c>
      <c r="G92" s="48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0"/>
      <c r="T92" s="43"/>
      <c r="U92" s="2"/>
      <c r="V92" s="3"/>
    </row>
    <row r="93" spans="1:22" ht="19.95" customHeight="1" x14ac:dyDescent="0.3">
      <c r="A93" s="93"/>
      <c r="B93" s="100" t="s">
        <v>13</v>
      </c>
      <c r="C93" s="17" t="s">
        <v>47</v>
      </c>
      <c r="D93" s="37" t="s">
        <v>17</v>
      </c>
      <c r="E93" s="55"/>
      <c r="F93" s="50">
        <v>5</v>
      </c>
      <c r="G93" s="48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0"/>
      <c r="U93" s="2"/>
      <c r="V93" s="3"/>
    </row>
    <row r="94" spans="1:22" ht="19.95" customHeight="1" x14ac:dyDescent="0.3">
      <c r="A94" s="93"/>
      <c r="B94" s="101"/>
      <c r="C94" s="38" t="s">
        <v>48</v>
      </c>
      <c r="D94" s="36" t="s">
        <v>17</v>
      </c>
      <c r="E94" s="55"/>
      <c r="F94" s="50">
        <v>5</v>
      </c>
      <c r="G94" s="48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0"/>
      <c r="U94" s="2"/>
      <c r="V94" s="3"/>
    </row>
    <row r="95" spans="1:22" ht="19.95" customHeight="1" x14ac:dyDescent="0.3">
      <c r="A95" s="93"/>
      <c r="B95" s="102" t="s">
        <v>10</v>
      </c>
      <c r="C95" s="102"/>
      <c r="D95" s="72" t="s">
        <v>9</v>
      </c>
      <c r="E95" s="73"/>
      <c r="F95" s="58">
        <f>SUM(E17:E94)</f>
        <v>0</v>
      </c>
      <c r="G95" s="15">
        <f>SUM(G17:G94)</f>
        <v>0</v>
      </c>
      <c r="H95" s="15">
        <f>SUM(H17:H94)</f>
        <v>0</v>
      </c>
      <c r="I95" s="15">
        <f>SUM(I17:I94)</f>
        <v>0</v>
      </c>
      <c r="J95" s="15">
        <f>SUM(J17:J94)</f>
        <v>0</v>
      </c>
      <c r="K95" s="15" t="e">
        <f>SUM(K17:K94) -K30-#REF!-K30-#REF!</f>
        <v>#REF!</v>
      </c>
      <c r="L95" s="15">
        <f>SUM(L17:L94)</f>
        <v>0</v>
      </c>
      <c r="M95" s="15">
        <f>SUM(M17:M94)</f>
        <v>0</v>
      </c>
      <c r="N95" s="15">
        <f>SUM(N17:N94)-N49-N62+N62+N49</f>
        <v>0</v>
      </c>
      <c r="O95" s="15">
        <f t="shared" ref="O95:T95" si="0">SUM(O17:O94)</f>
        <v>0</v>
      </c>
      <c r="P95" s="15">
        <f t="shared" si="0"/>
        <v>0</v>
      </c>
      <c r="Q95" s="15">
        <f t="shared" si="0"/>
        <v>0</v>
      </c>
      <c r="R95" s="15">
        <f t="shared" si="0"/>
        <v>0</v>
      </c>
      <c r="S95" s="15">
        <f t="shared" si="0"/>
        <v>0</v>
      </c>
      <c r="T95" s="15">
        <f t="shared" si="0"/>
        <v>0</v>
      </c>
      <c r="U95" s="2"/>
      <c r="V95" s="3"/>
    </row>
    <row r="96" spans="1:22" ht="19.95" customHeight="1" x14ac:dyDescent="0.3">
      <c r="A96" s="93"/>
      <c r="B96" s="102"/>
      <c r="C96" s="102"/>
      <c r="D96" s="72" t="s">
        <v>18</v>
      </c>
      <c r="E96" s="72"/>
      <c r="F96" s="15">
        <f>SUM(F17:F94)</f>
        <v>178</v>
      </c>
      <c r="G96" s="15">
        <f>SUM(G17:G94)</f>
        <v>0</v>
      </c>
      <c r="H96" s="15">
        <f>SUM(H17:H94)</f>
        <v>0</v>
      </c>
      <c r="I96" s="15">
        <f>SUM(I17:I94) -I21-I23</f>
        <v>0</v>
      </c>
      <c r="J96" s="15">
        <f>SUM(J17:J94)</f>
        <v>0</v>
      </c>
      <c r="K96" s="15" t="e">
        <f>SUM(K17:K94)-K30-#REF!</f>
        <v>#REF!</v>
      </c>
      <c r="L96" s="15">
        <f>SUM(L17:L94)</f>
        <v>0</v>
      </c>
      <c r="M96" s="15">
        <f>SUM(M17:M94)</f>
        <v>0</v>
      </c>
      <c r="N96" s="15">
        <f>SUM(N17:N94) -N49-N62</f>
        <v>0</v>
      </c>
      <c r="O96" s="15" t="e">
        <f>SUM(O17:O94)-#REF!-#REF!-O53-#REF!</f>
        <v>#REF!</v>
      </c>
      <c r="P96" s="15">
        <f t="shared" ref="P96:T96" si="1">SUM(P17:P94)</f>
        <v>0</v>
      </c>
      <c r="Q96" s="15">
        <f t="shared" si="1"/>
        <v>0</v>
      </c>
      <c r="R96" s="15">
        <f t="shared" si="1"/>
        <v>0</v>
      </c>
      <c r="S96" s="15">
        <f t="shared" si="1"/>
        <v>0</v>
      </c>
      <c r="T96" s="15">
        <f t="shared" si="1"/>
        <v>0</v>
      </c>
      <c r="U96" s="2"/>
      <c r="V96" s="3"/>
    </row>
    <row r="97" spans="1:22" ht="19.95" customHeight="1" x14ac:dyDescent="0.3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V97" s="1"/>
    </row>
    <row r="98" spans="1:22" ht="19.95" customHeight="1" x14ac:dyDescent="0.3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V98" s="1"/>
    </row>
    <row r="99" spans="1:22" ht="19.95" customHeight="1" x14ac:dyDescent="0.3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</row>
    <row r="100" spans="1:22" ht="19.95" customHeight="1" x14ac:dyDescent="0.3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</row>
    <row r="101" spans="1:22" ht="19.95" customHeight="1" x14ac:dyDescent="0.3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</row>
    <row r="102" spans="1:22" ht="19.95" customHeight="1" x14ac:dyDescent="0.3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</row>
    <row r="103" spans="1:22" ht="19.95" customHeight="1" x14ac:dyDescent="0.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</row>
    <row r="104" spans="1:22" ht="19.95" customHeight="1" x14ac:dyDescent="0.3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</row>
    <row r="105" spans="1:22" ht="19.95" customHeight="1" x14ac:dyDescent="0.3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</row>
    <row r="106" spans="1:22" ht="19.95" customHeight="1" x14ac:dyDescent="0.3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</row>
    <row r="107" spans="1:22" ht="19.95" customHeight="1" x14ac:dyDescent="0.3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</row>
    <row r="108" spans="1:22" ht="19.95" customHeight="1" x14ac:dyDescent="0.3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</row>
    <row r="109" spans="1:22" ht="19.95" customHeight="1" x14ac:dyDescent="0.3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</row>
    <row r="110" spans="1:22" ht="19.95" customHeight="1" x14ac:dyDescent="0.3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</row>
    <row r="111" spans="1:22" ht="19.95" customHeight="1" x14ac:dyDescent="0.3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</row>
    <row r="112" spans="1:22" ht="19.95" customHeight="1" x14ac:dyDescent="0.3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</row>
    <row r="113" spans="1:18" ht="19.95" customHeight="1" x14ac:dyDescent="0.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</row>
    <row r="114" spans="1:18" ht="19.95" customHeight="1" x14ac:dyDescent="0.3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</row>
    <row r="115" spans="1:18" ht="19.95" customHeight="1" x14ac:dyDescent="0.3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</row>
    <row r="116" spans="1:18" ht="19.95" customHeight="1" x14ac:dyDescent="0.3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</row>
    <row r="117" spans="1:18" ht="19.95" customHeight="1" x14ac:dyDescent="0.3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</row>
    <row r="118" spans="1:18" ht="19.95" customHeight="1" x14ac:dyDescent="0.3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</row>
    <row r="119" spans="1:18" ht="19.95" customHeight="1" x14ac:dyDescent="0.3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</row>
    <row r="120" spans="1:18" ht="19.95" customHeight="1" x14ac:dyDescent="0.3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</row>
    <row r="121" spans="1:18" ht="19.95" customHeight="1" x14ac:dyDescent="0.3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</row>
    <row r="122" spans="1:18" ht="19.95" customHeight="1" x14ac:dyDescent="0.3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</row>
    <row r="123" spans="1:18" ht="19.95" customHeight="1" x14ac:dyDescent="0.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</row>
    <row r="124" spans="1:18" ht="19.95" customHeight="1" x14ac:dyDescent="0.3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</row>
    <row r="125" spans="1:18" ht="19.95" customHeight="1" x14ac:dyDescent="0.3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</row>
    <row r="126" spans="1:18" ht="19.95" customHeight="1" x14ac:dyDescent="0.3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</row>
    <row r="127" spans="1:18" ht="19.95" customHeight="1" x14ac:dyDescent="0.3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</row>
    <row r="128" spans="1:18" ht="19.95" customHeight="1" x14ac:dyDescent="0.3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</row>
    <row r="129" spans="1:18" ht="19.95" customHeight="1" x14ac:dyDescent="0.3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</row>
    <row r="130" spans="1:18" ht="19.95" customHeight="1" x14ac:dyDescent="0.3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</row>
    <row r="131" spans="1:18" ht="19.95" customHeight="1" x14ac:dyDescent="0.3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</row>
    <row r="132" spans="1:18" ht="19.95" customHeight="1" x14ac:dyDescent="0.3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</row>
    <row r="133" spans="1:18" ht="19.95" customHeight="1" x14ac:dyDescent="0.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</row>
    <row r="134" spans="1:18" ht="19.95" customHeight="1" x14ac:dyDescent="0.3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</row>
    <row r="135" spans="1:18" ht="19.95" customHeight="1" x14ac:dyDescent="0.3">
      <c r="A135" s="1"/>
      <c r="B135" s="1"/>
      <c r="C135" s="1"/>
      <c r="D135" s="1"/>
      <c r="E135" s="1"/>
      <c r="F135" s="1"/>
      <c r="G135" s="1"/>
      <c r="H135" s="1"/>
      <c r="I135" s="17"/>
      <c r="J135" s="17"/>
      <c r="K135" s="17"/>
      <c r="L135" s="17"/>
      <c r="M135" s="17"/>
      <c r="N135" s="17"/>
      <c r="O135" s="17"/>
      <c r="P135" s="17"/>
      <c r="Q135" s="17"/>
      <c r="R135" s="17"/>
    </row>
    <row r="136" spans="1:18" ht="19.95" customHeight="1" x14ac:dyDescent="0.3">
      <c r="A136" s="1"/>
      <c r="B136" s="1"/>
      <c r="C136" s="1"/>
      <c r="D136" s="1"/>
      <c r="E136" s="1"/>
      <c r="F136" s="1"/>
      <c r="G136" s="1"/>
      <c r="H136" s="1"/>
      <c r="I136" s="17"/>
      <c r="J136" s="17"/>
      <c r="K136" s="17"/>
      <c r="L136" s="17"/>
      <c r="M136" s="17"/>
      <c r="N136" s="17"/>
      <c r="O136" s="17"/>
      <c r="P136" s="17"/>
      <c r="Q136" s="17"/>
      <c r="R136" s="17"/>
    </row>
    <row r="137" spans="1:18" ht="19.95" customHeight="1" x14ac:dyDescent="0.3">
      <c r="A137" s="1"/>
      <c r="B137" s="1"/>
      <c r="C137" s="1"/>
      <c r="D137" s="1"/>
      <c r="E137" s="1"/>
      <c r="F137" s="1"/>
      <c r="G137" s="1"/>
      <c r="H137" s="1"/>
      <c r="I137" s="17"/>
      <c r="J137" s="17"/>
      <c r="K137" s="17"/>
      <c r="L137" s="17"/>
      <c r="M137" s="17"/>
      <c r="N137" s="17"/>
      <c r="O137" s="17"/>
      <c r="P137" s="17"/>
      <c r="Q137" s="17"/>
      <c r="R137" s="17"/>
    </row>
    <row r="138" spans="1:18" ht="19.95" customHeight="1" x14ac:dyDescent="0.3">
      <c r="A138" s="1"/>
      <c r="B138" s="1"/>
      <c r="C138" s="1"/>
      <c r="D138" s="1"/>
      <c r="E138" s="1"/>
      <c r="F138" s="1"/>
      <c r="G138" s="1"/>
      <c r="H138" s="1"/>
      <c r="I138" s="17"/>
      <c r="J138" s="17"/>
      <c r="K138" s="17"/>
      <c r="L138" s="17"/>
      <c r="M138" s="17"/>
      <c r="N138" s="17"/>
      <c r="O138" s="17"/>
      <c r="P138" s="17"/>
      <c r="Q138" s="17"/>
      <c r="R138" s="17"/>
    </row>
    <row r="139" spans="1:18" ht="19.95" customHeight="1" x14ac:dyDescent="0.3">
      <c r="A139" s="1"/>
      <c r="B139" s="1"/>
      <c r="C139" s="1"/>
      <c r="D139" s="1"/>
      <c r="E139" s="1"/>
      <c r="F139" s="1"/>
      <c r="G139" s="1"/>
      <c r="H139" s="1"/>
      <c r="I139" s="17"/>
      <c r="J139" s="17"/>
      <c r="K139" s="17"/>
      <c r="L139" s="17"/>
      <c r="M139" s="17"/>
      <c r="N139" s="17"/>
      <c r="O139" s="17"/>
      <c r="P139" s="17"/>
      <c r="Q139" s="17"/>
      <c r="R139" s="17"/>
    </row>
    <row r="140" spans="1:18" ht="19.95" customHeight="1" x14ac:dyDescent="0.3">
      <c r="A140" s="1"/>
      <c r="B140" s="1"/>
      <c r="C140" s="1"/>
      <c r="D140" s="1"/>
      <c r="E140" s="1"/>
      <c r="F140" s="1"/>
      <c r="G140" s="1"/>
      <c r="H140" s="1"/>
      <c r="I140" s="17"/>
      <c r="J140" s="17"/>
      <c r="K140" s="17"/>
      <c r="L140" s="17"/>
      <c r="M140" s="17"/>
      <c r="N140" s="17"/>
      <c r="O140" s="17"/>
      <c r="P140" s="17"/>
      <c r="Q140" s="17"/>
      <c r="R140" s="17"/>
    </row>
    <row r="141" spans="1:18" ht="19.95" customHeight="1" x14ac:dyDescent="0.3">
      <c r="A141" s="1"/>
      <c r="B141" s="1"/>
      <c r="C141" s="1"/>
      <c r="D141" s="1"/>
      <c r="E141" s="1"/>
      <c r="F141" s="1"/>
      <c r="G141" s="1"/>
      <c r="H141" s="1"/>
      <c r="I141" s="17"/>
      <c r="J141" s="17"/>
      <c r="K141" s="17"/>
      <c r="L141" s="17"/>
      <c r="M141" s="17"/>
      <c r="N141" s="17"/>
      <c r="O141" s="17"/>
      <c r="P141" s="17"/>
      <c r="Q141" s="17"/>
      <c r="R141" s="17"/>
    </row>
    <row r="142" spans="1:18" ht="19.95" customHeight="1" x14ac:dyDescent="0.3">
      <c r="A142" s="1"/>
      <c r="B142" s="1"/>
      <c r="C142" s="1"/>
      <c r="D142" s="1"/>
      <c r="E142" s="1"/>
      <c r="F142" s="1"/>
      <c r="G142" s="1"/>
      <c r="H142" s="1"/>
      <c r="I142" s="17"/>
      <c r="J142" s="17"/>
      <c r="K142" s="17"/>
      <c r="L142" s="17"/>
      <c r="M142" s="17"/>
      <c r="N142" s="17"/>
      <c r="O142" s="17"/>
      <c r="P142" s="17"/>
      <c r="Q142" s="17"/>
      <c r="R142" s="17"/>
    </row>
    <row r="143" spans="1:18" ht="19.95" customHeight="1" x14ac:dyDescent="0.3">
      <c r="A143" s="1"/>
      <c r="B143" s="1"/>
      <c r="C143" s="1"/>
      <c r="D143" s="1"/>
      <c r="E143" s="1"/>
      <c r="F143" s="1"/>
      <c r="G143" s="1"/>
      <c r="H143" s="1"/>
      <c r="I143" s="17"/>
      <c r="J143" s="17"/>
      <c r="K143" s="17"/>
      <c r="L143" s="17"/>
      <c r="M143" s="17"/>
      <c r="N143" s="17"/>
      <c r="O143" s="17"/>
      <c r="P143" s="17"/>
      <c r="Q143" s="17"/>
      <c r="R143" s="17"/>
    </row>
    <row r="144" spans="1:18" ht="19.95" customHeight="1" x14ac:dyDescent="0.3">
      <c r="A144" s="1"/>
      <c r="B144" s="1"/>
      <c r="C144" s="1"/>
      <c r="D144" s="1"/>
      <c r="E144" s="1"/>
      <c r="F144" s="1"/>
      <c r="G144" s="1"/>
      <c r="H144" s="1"/>
      <c r="I144" s="17"/>
      <c r="J144" s="17"/>
      <c r="K144" s="17"/>
      <c r="L144" s="17"/>
      <c r="M144" s="17"/>
      <c r="N144" s="17"/>
      <c r="O144" s="17"/>
      <c r="P144" s="17"/>
      <c r="Q144" s="17"/>
      <c r="R144" s="17"/>
    </row>
    <row r="145" spans="1:18" ht="19.95" customHeight="1" x14ac:dyDescent="0.3">
      <c r="A145" s="1"/>
      <c r="B145" s="1"/>
      <c r="C145" s="1"/>
      <c r="D145" s="1"/>
      <c r="E145" s="1"/>
      <c r="F145" s="1"/>
      <c r="G145" s="1"/>
      <c r="H145" s="1"/>
      <c r="I145" s="17"/>
      <c r="J145" s="17"/>
      <c r="K145" s="17"/>
      <c r="L145" s="17"/>
      <c r="M145" s="17"/>
      <c r="N145" s="17"/>
      <c r="O145" s="17"/>
      <c r="P145" s="17"/>
      <c r="Q145" s="17"/>
      <c r="R145" s="17"/>
    </row>
    <row r="146" spans="1:18" ht="19.95" customHeight="1" x14ac:dyDescent="0.3">
      <c r="A146" s="1"/>
      <c r="B146" s="1"/>
      <c r="C146" s="1"/>
      <c r="D146" s="1"/>
      <c r="E146" s="1"/>
      <c r="F146" s="1"/>
      <c r="G146" s="1"/>
      <c r="H146" s="1"/>
      <c r="I146" s="17"/>
      <c r="J146" s="17"/>
      <c r="K146" s="17"/>
      <c r="L146" s="17"/>
      <c r="M146" s="17"/>
      <c r="N146" s="17"/>
      <c r="O146" s="17"/>
      <c r="P146" s="17"/>
      <c r="Q146" s="17"/>
      <c r="R146" s="17"/>
    </row>
    <row r="147" spans="1:18" ht="19.95" customHeight="1" x14ac:dyDescent="0.3">
      <c r="A147" s="1"/>
      <c r="B147" s="1"/>
      <c r="C147" s="1"/>
      <c r="D147" s="1"/>
      <c r="E147" s="1"/>
      <c r="F147" s="1"/>
      <c r="G147" s="1"/>
      <c r="H147" s="1"/>
      <c r="I147" s="17"/>
      <c r="J147" s="17"/>
      <c r="K147" s="17"/>
      <c r="L147" s="17"/>
      <c r="M147" s="17"/>
      <c r="N147" s="17"/>
      <c r="O147" s="17"/>
      <c r="P147" s="17"/>
      <c r="Q147" s="17"/>
      <c r="R147" s="17"/>
    </row>
    <row r="148" spans="1:18" ht="19.95" customHeight="1" x14ac:dyDescent="0.3">
      <c r="A148" s="1"/>
      <c r="B148" s="1"/>
      <c r="C148" s="1"/>
      <c r="D148" s="1"/>
      <c r="E148" s="1"/>
      <c r="F148" s="1"/>
      <c r="G148" s="1"/>
      <c r="H148" s="1"/>
      <c r="I148" s="17"/>
      <c r="J148" s="17"/>
      <c r="K148" s="17"/>
      <c r="L148" s="17"/>
      <c r="M148" s="17"/>
      <c r="N148" s="17"/>
      <c r="O148" s="17"/>
      <c r="P148" s="17"/>
      <c r="Q148" s="17"/>
      <c r="R148" s="17"/>
    </row>
    <row r="149" spans="1:18" ht="19.95" customHeight="1" x14ac:dyDescent="0.3">
      <c r="A149" s="1"/>
      <c r="B149" s="1"/>
      <c r="C149" s="1"/>
      <c r="D149" s="1"/>
      <c r="E149" s="1"/>
      <c r="F149" s="1"/>
      <c r="G149" s="1"/>
      <c r="H149" s="1"/>
      <c r="I149" s="17"/>
      <c r="J149" s="17"/>
      <c r="K149" s="17"/>
      <c r="L149" s="17"/>
      <c r="M149" s="17"/>
      <c r="N149" s="17"/>
      <c r="O149" s="17"/>
      <c r="P149" s="17"/>
      <c r="Q149" s="17"/>
      <c r="R149" s="17"/>
    </row>
    <row r="150" spans="1:18" ht="19.95" customHeight="1" x14ac:dyDescent="0.3">
      <c r="A150" s="1"/>
      <c r="B150" s="1"/>
      <c r="C150" s="1"/>
      <c r="D150" s="1"/>
      <c r="E150" s="1"/>
      <c r="F150" s="1"/>
      <c r="G150" s="1"/>
      <c r="H150" s="1"/>
      <c r="I150" s="17"/>
      <c r="J150" s="17"/>
      <c r="K150" s="17"/>
      <c r="L150" s="17"/>
      <c r="M150" s="17"/>
      <c r="N150" s="17"/>
      <c r="O150" s="17"/>
      <c r="P150" s="17"/>
      <c r="Q150" s="17"/>
      <c r="R150" s="17"/>
    </row>
    <row r="151" spans="1:18" ht="19.95" customHeight="1" x14ac:dyDescent="0.3">
      <c r="A151" s="1"/>
      <c r="B151" s="1"/>
      <c r="C151" s="1"/>
      <c r="D151" s="1"/>
      <c r="E151" s="1"/>
      <c r="F151" s="1"/>
      <c r="G151" s="1"/>
      <c r="H151" s="1"/>
      <c r="I151" s="17"/>
      <c r="J151" s="17"/>
      <c r="K151" s="17"/>
      <c r="L151" s="17"/>
      <c r="M151" s="17"/>
      <c r="N151" s="17"/>
      <c r="O151" s="17"/>
      <c r="P151" s="17"/>
      <c r="Q151" s="17"/>
      <c r="R151" s="17"/>
    </row>
    <row r="152" spans="1:18" ht="19.95" customHeight="1" x14ac:dyDescent="0.3">
      <c r="A152" s="1"/>
      <c r="B152" s="1"/>
      <c r="C152" s="1"/>
      <c r="D152" s="1"/>
      <c r="E152" s="1"/>
      <c r="F152" s="1"/>
      <c r="G152" s="1"/>
      <c r="H152" s="1"/>
      <c r="I152" s="17"/>
      <c r="J152" s="17"/>
      <c r="K152" s="17"/>
      <c r="L152" s="17"/>
      <c r="M152" s="17"/>
      <c r="N152" s="17"/>
      <c r="O152" s="17"/>
      <c r="P152" s="17"/>
      <c r="Q152" s="17"/>
      <c r="R152" s="17"/>
    </row>
    <row r="153" spans="1:18" ht="19.95" customHeight="1" x14ac:dyDescent="0.3">
      <c r="A153" s="1"/>
      <c r="B153" s="1"/>
      <c r="C153" s="1"/>
      <c r="D153" s="1"/>
      <c r="E153" s="1"/>
      <c r="F153" s="1"/>
      <c r="G153" s="1"/>
      <c r="H153" s="1"/>
      <c r="I153" s="17"/>
      <c r="J153" s="17"/>
      <c r="K153" s="17"/>
      <c r="L153" s="17"/>
      <c r="M153" s="17"/>
      <c r="N153" s="17"/>
      <c r="O153" s="17"/>
      <c r="P153" s="17"/>
      <c r="Q153" s="17"/>
      <c r="R153" s="17"/>
    </row>
    <row r="154" spans="1:18" ht="19.95" customHeight="1" x14ac:dyDescent="0.3">
      <c r="A154" s="1"/>
      <c r="B154" s="1"/>
      <c r="C154" s="1"/>
      <c r="D154" s="1"/>
      <c r="E154" s="1"/>
      <c r="F154" s="1"/>
      <c r="G154" s="1"/>
      <c r="H154" s="1"/>
      <c r="I154" s="17"/>
      <c r="J154" s="17"/>
      <c r="K154" s="17"/>
      <c r="L154" s="17"/>
      <c r="M154" s="17"/>
      <c r="N154" s="17"/>
      <c r="O154" s="17"/>
      <c r="P154" s="17"/>
      <c r="Q154" s="17"/>
      <c r="R154" s="17"/>
    </row>
    <row r="155" spans="1:18" ht="19.95" customHeight="1" x14ac:dyDescent="0.3">
      <c r="A155" s="1"/>
      <c r="B155" s="1"/>
      <c r="C155" s="1"/>
      <c r="D155" s="1"/>
      <c r="E155" s="1"/>
      <c r="F155" s="1"/>
      <c r="G155" s="1"/>
      <c r="H155" s="1"/>
      <c r="I155" s="17"/>
      <c r="J155" s="17"/>
      <c r="K155" s="17"/>
      <c r="L155" s="17"/>
      <c r="M155" s="17"/>
      <c r="N155" s="17"/>
      <c r="O155" s="17"/>
      <c r="P155" s="17"/>
      <c r="Q155" s="17"/>
      <c r="R155" s="17"/>
    </row>
    <row r="156" spans="1:18" ht="19.95" customHeight="1" x14ac:dyDescent="0.3">
      <c r="A156" s="1"/>
      <c r="B156" s="1"/>
      <c r="C156" s="1"/>
      <c r="D156" s="1"/>
      <c r="E156" s="1"/>
      <c r="F156" s="1"/>
      <c r="G156" s="1"/>
      <c r="H156" s="1"/>
      <c r="I156" s="17"/>
      <c r="J156" s="17"/>
      <c r="K156" s="17"/>
      <c r="L156" s="17"/>
      <c r="M156" s="17"/>
      <c r="N156" s="17"/>
      <c r="O156" s="17"/>
      <c r="P156" s="17"/>
      <c r="Q156" s="17"/>
      <c r="R156" s="17"/>
    </row>
    <row r="157" spans="1:18" ht="19.95" customHeight="1" x14ac:dyDescent="0.3">
      <c r="A157" s="1"/>
      <c r="B157" s="1"/>
      <c r="C157" s="1"/>
      <c r="D157" s="1"/>
      <c r="E157" s="1"/>
      <c r="F157" s="1"/>
      <c r="G157" s="1"/>
      <c r="H157" s="1"/>
      <c r="I157" s="17"/>
      <c r="J157" s="17"/>
      <c r="K157" s="17"/>
      <c r="L157" s="17"/>
      <c r="M157" s="17"/>
      <c r="N157" s="17"/>
      <c r="O157" s="17"/>
      <c r="P157" s="17"/>
      <c r="Q157" s="17"/>
      <c r="R157" s="17"/>
    </row>
    <row r="158" spans="1:18" ht="19.95" customHeight="1" x14ac:dyDescent="0.3">
      <c r="A158" s="1"/>
      <c r="B158" s="1"/>
      <c r="C158" s="1"/>
      <c r="D158" s="1"/>
      <c r="E158" s="1"/>
      <c r="F158" s="1"/>
      <c r="G158" s="1"/>
      <c r="H158" s="1"/>
      <c r="I158" s="17"/>
      <c r="J158" s="17"/>
      <c r="K158" s="17"/>
      <c r="L158" s="17"/>
      <c r="M158" s="17"/>
      <c r="N158" s="17"/>
      <c r="O158" s="17"/>
      <c r="P158" s="17"/>
      <c r="Q158" s="17"/>
      <c r="R158" s="17"/>
    </row>
    <row r="159" spans="1:18" ht="19.95" customHeight="1" x14ac:dyDescent="0.3">
      <c r="A159" s="1"/>
      <c r="B159" s="1"/>
      <c r="C159" s="1"/>
      <c r="D159" s="1"/>
      <c r="E159" s="1"/>
      <c r="F159" s="1"/>
      <c r="G159" s="1"/>
      <c r="H159" s="1"/>
      <c r="I159" s="17"/>
      <c r="J159" s="17"/>
      <c r="K159" s="17"/>
      <c r="L159" s="17"/>
      <c r="M159" s="17"/>
      <c r="N159" s="17"/>
      <c r="O159" s="17"/>
      <c r="P159" s="17"/>
      <c r="Q159" s="17"/>
      <c r="R159" s="17"/>
    </row>
    <row r="160" spans="1:18" ht="19.95" customHeight="1" x14ac:dyDescent="0.3">
      <c r="A160" s="1"/>
      <c r="B160" s="1"/>
      <c r="C160" s="1"/>
      <c r="D160" s="1"/>
      <c r="E160" s="1"/>
      <c r="F160" s="1"/>
      <c r="G160" s="1"/>
      <c r="H160" s="1"/>
      <c r="I160" s="17"/>
      <c r="J160" s="17"/>
      <c r="K160" s="17"/>
      <c r="L160" s="17"/>
      <c r="M160" s="17"/>
      <c r="N160" s="17"/>
      <c r="O160" s="17"/>
      <c r="P160" s="17"/>
      <c r="Q160" s="17"/>
      <c r="R160" s="17"/>
    </row>
    <row r="161" spans="1:29" ht="19.95" customHeight="1" x14ac:dyDescent="0.3">
      <c r="A161" s="1"/>
      <c r="B161" s="1"/>
      <c r="C161" s="1"/>
      <c r="D161" s="1"/>
      <c r="E161" s="1"/>
      <c r="F161" s="1"/>
      <c r="G161" s="1"/>
      <c r="H161" s="1"/>
      <c r="I161" s="17"/>
      <c r="J161" s="17"/>
      <c r="K161" s="17"/>
      <c r="L161" s="17"/>
      <c r="M161" s="17"/>
      <c r="N161" s="17"/>
      <c r="O161" s="17"/>
      <c r="P161" s="17"/>
      <c r="Q161" s="17"/>
      <c r="R161" s="17"/>
    </row>
    <row r="162" spans="1:29" ht="19.95" customHeight="1" x14ac:dyDescent="0.3">
      <c r="A162" s="1"/>
      <c r="B162" s="1"/>
      <c r="C162" s="1"/>
      <c r="D162" s="1"/>
      <c r="E162" s="1"/>
      <c r="F162" s="1"/>
      <c r="G162" s="1"/>
      <c r="H162" s="1"/>
      <c r="I162" s="17"/>
      <c r="J162" s="17"/>
      <c r="K162" s="17"/>
      <c r="L162" s="17"/>
      <c r="M162" s="17"/>
      <c r="N162" s="17"/>
      <c r="O162" s="17"/>
      <c r="P162" s="17"/>
      <c r="Q162" s="17"/>
      <c r="R162" s="17"/>
    </row>
    <row r="163" spans="1:29" ht="19.95" customHeight="1" x14ac:dyDescent="0.3">
      <c r="A163" s="1"/>
      <c r="B163" s="1"/>
      <c r="C163" s="1"/>
      <c r="D163" s="1"/>
      <c r="E163" s="1"/>
      <c r="F163" s="1"/>
      <c r="G163" s="1"/>
      <c r="H163" s="1"/>
      <c r="I163" s="17"/>
      <c r="J163" s="17"/>
      <c r="K163" s="17"/>
      <c r="L163" s="17"/>
      <c r="M163" s="17"/>
      <c r="N163" s="17"/>
      <c r="O163" s="17"/>
      <c r="P163" s="17"/>
      <c r="Q163" s="17"/>
      <c r="R163" s="17"/>
    </row>
    <row r="164" spans="1:29" ht="19.95" customHeight="1" x14ac:dyDescent="0.3">
      <c r="A164" s="1"/>
      <c r="B164" s="1"/>
      <c r="C164" s="1"/>
      <c r="D164" s="1"/>
      <c r="E164" s="1"/>
      <c r="F164" s="1"/>
      <c r="G164" s="1"/>
      <c r="H164" s="1"/>
      <c r="I164" s="17"/>
      <c r="J164" s="17"/>
      <c r="K164" s="17"/>
      <c r="L164" s="17"/>
      <c r="M164" s="17"/>
      <c r="N164" s="17"/>
      <c r="O164" s="17"/>
      <c r="P164" s="17"/>
      <c r="Q164" s="17"/>
      <c r="R164" s="17"/>
    </row>
    <row r="165" spans="1:29" ht="19.95" customHeight="1" x14ac:dyDescent="0.3">
      <c r="A165" s="1"/>
      <c r="B165" s="1"/>
      <c r="C165" s="1"/>
      <c r="D165" s="1"/>
      <c r="E165" s="1"/>
      <c r="F165" s="1"/>
      <c r="G165" s="1"/>
      <c r="H165" s="1"/>
      <c r="I165" s="17"/>
      <c r="J165" s="17"/>
      <c r="K165" s="17"/>
      <c r="L165" s="17"/>
      <c r="M165" s="17"/>
      <c r="N165" s="17"/>
      <c r="O165" s="17"/>
      <c r="P165" s="17"/>
      <c r="Q165" s="17"/>
      <c r="R165" s="17"/>
    </row>
    <row r="166" spans="1:29" ht="19.95" customHeight="1" x14ac:dyDescent="0.3">
      <c r="A166" s="1"/>
      <c r="B166" s="1"/>
      <c r="C166" s="1"/>
      <c r="D166" s="1"/>
      <c r="E166" s="1"/>
      <c r="F166" s="1"/>
      <c r="G166" s="1"/>
      <c r="H166" s="1"/>
      <c r="I166" s="17"/>
      <c r="J166" s="17"/>
      <c r="K166" s="17"/>
      <c r="L166" s="17"/>
      <c r="M166" s="17"/>
      <c r="N166" s="17"/>
      <c r="O166" s="17"/>
      <c r="P166" s="17"/>
      <c r="Q166" s="17"/>
      <c r="R166" s="17"/>
    </row>
    <row r="167" spans="1:29" ht="19.95" customHeight="1" x14ac:dyDescent="0.3">
      <c r="A167" s="1"/>
      <c r="B167" s="1"/>
      <c r="C167" s="1"/>
      <c r="D167" s="1"/>
      <c r="E167" s="1"/>
      <c r="F167" s="1"/>
      <c r="G167" s="1"/>
      <c r="H167" s="1"/>
      <c r="I167" s="17"/>
      <c r="J167" s="17"/>
      <c r="K167" s="17"/>
      <c r="L167" s="17"/>
      <c r="M167" s="17"/>
      <c r="N167" s="17"/>
      <c r="O167" s="17"/>
      <c r="P167" s="17"/>
      <c r="Q167" s="17"/>
      <c r="R167" s="17"/>
    </row>
    <row r="168" spans="1:29" ht="19.95" customHeight="1" x14ac:dyDescent="0.3">
      <c r="A168" s="1"/>
      <c r="B168" s="1"/>
      <c r="C168" s="1"/>
      <c r="D168" s="1"/>
      <c r="E168" s="1"/>
      <c r="F168" s="1"/>
      <c r="G168" s="1"/>
      <c r="H168" s="1"/>
      <c r="I168" s="17"/>
      <c r="J168" s="17"/>
      <c r="K168" s="17"/>
      <c r="L168" s="17"/>
      <c r="M168" s="17"/>
      <c r="N168" s="17"/>
      <c r="O168" s="17"/>
      <c r="P168" s="17"/>
      <c r="Q168" s="17"/>
      <c r="R168" s="17"/>
    </row>
    <row r="169" spans="1:29" ht="19.9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spans="1:29" ht="19.9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spans="1:29" ht="19.9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spans="1:29" ht="19.9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spans="1:29" ht="19.9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spans="1:29" ht="19.9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spans="1:29" ht="19.9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spans="1:29" ht="19.9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spans="1:29" ht="19.9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spans="1:29" ht="19.9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spans="1:29" ht="19.9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spans="1:29" ht="19.9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spans="1:29" ht="19.9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spans="1:29" ht="19.9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spans="1:29" ht="19.9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spans="1:29" ht="19.9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spans="1:29" ht="19.9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spans="1:29" ht="19.9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spans="1:29" ht="19.9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spans="1:29" ht="19.9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spans="1:29" ht="19.9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spans="1:29" ht="19.9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spans="1:29" ht="19.9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spans="1:29" ht="19.9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spans="1:29" ht="19.9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spans="1:29" ht="19.9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spans="1:29" ht="19.9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spans="1:29" ht="19.9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spans="1:29" ht="19.9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spans="1:29" ht="19.9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spans="1:29" ht="19.9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spans="1:29" ht="19.9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spans="1:29" ht="19.9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spans="1:29" ht="19.9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spans="1:29" ht="19.9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spans="1:29" ht="19.9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spans="1:29" ht="19.9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spans="1:29" ht="19.9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spans="1:29" ht="19.9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spans="1:29" ht="19.9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spans="1:29" ht="19.9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spans="1:29" ht="19.9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spans="1:29" ht="19.95" customHeight="1" x14ac:dyDescent="0.3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spans="1:29" ht="19.95" customHeight="1" x14ac:dyDescent="0.3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spans="1:29" ht="19.95" customHeight="1" x14ac:dyDescent="0.3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spans="1:29" ht="19.95" customHeight="1" x14ac:dyDescent="0.3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spans="1:29" ht="19.95" customHeight="1" x14ac:dyDescent="0.3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spans="1:29" ht="19.95" customHeight="1" x14ac:dyDescent="0.3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spans="1:29" ht="19.95" customHeight="1" x14ac:dyDescent="0.3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spans="1:29" ht="19.95" customHeight="1" x14ac:dyDescent="0.3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spans="1:29" ht="19.95" customHeight="1" x14ac:dyDescent="0.3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spans="1:29" ht="19.95" customHeight="1" x14ac:dyDescent="0.3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spans="1:29" ht="19.95" customHeight="1" x14ac:dyDescent="0.3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spans="1:29" ht="19.95" customHeight="1" x14ac:dyDescent="0.3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spans="1:29" ht="19.95" customHeight="1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spans="1:29" ht="19.95" customHeight="1" x14ac:dyDescent="0.3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spans="1:29" ht="19.95" customHeight="1" x14ac:dyDescent="0.3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spans="1:29" ht="19.95" customHeight="1" x14ac:dyDescent="0.3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spans="1:29" ht="19.95" customHeight="1" x14ac:dyDescent="0.3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spans="1:29" ht="19.95" customHeight="1" x14ac:dyDescent="0.3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spans="1:29" ht="19.95" customHeight="1" x14ac:dyDescent="0.3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spans="1:29" ht="19.95" customHeight="1" x14ac:dyDescent="0.3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spans="1:29" ht="19.95" customHeight="1" x14ac:dyDescent="0.3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spans="1:29" ht="19.95" customHeight="1" x14ac:dyDescent="0.3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spans="1:29" ht="19.95" customHeight="1" x14ac:dyDescent="0.3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spans="1:29" ht="19.95" customHeight="1" x14ac:dyDescent="0.3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spans="1:29" ht="19.95" customHeight="1" x14ac:dyDescent="0.3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spans="1:29" ht="19.95" customHeight="1" x14ac:dyDescent="0.3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spans="1:29" ht="19.95" customHeight="1" x14ac:dyDescent="0.3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spans="1:29" ht="19.95" customHeight="1" x14ac:dyDescent="0.3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spans="1:29" ht="19.95" customHeight="1" x14ac:dyDescent="0.3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spans="1:29" ht="19.95" customHeight="1" x14ac:dyDescent="0.3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spans="1:29" ht="19.95" customHeight="1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spans="1:29" ht="19.95" customHeight="1" x14ac:dyDescent="0.3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spans="1:29" ht="19.95" customHeight="1" x14ac:dyDescent="0.3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spans="1:29" ht="19.95" customHeight="1" x14ac:dyDescent="0.3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spans="1:29" ht="19.95" customHeight="1" x14ac:dyDescent="0.3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spans="1:29" ht="19.95" customHeight="1" x14ac:dyDescent="0.3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spans="1:29" ht="19.95" customHeight="1" x14ac:dyDescent="0.3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spans="1:29" ht="19.95" customHeight="1" x14ac:dyDescent="0.3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spans="1:29" ht="19.95" customHeight="1" x14ac:dyDescent="0.3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spans="1:29" ht="19.95" customHeight="1" x14ac:dyDescent="0.3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spans="1:29" ht="19.95" customHeight="1" x14ac:dyDescent="0.3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spans="1:29" ht="19.95" customHeight="1" x14ac:dyDescent="0.3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spans="1:29" ht="19.95" customHeight="1" x14ac:dyDescent="0.3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spans="1:29" ht="19.95" customHeight="1" x14ac:dyDescent="0.3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spans="1:29" ht="19.95" customHeight="1" x14ac:dyDescent="0.3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spans="1:29" ht="19.95" customHeight="1" x14ac:dyDescent="0.3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spans="1:29" ht="19.95" customHeight="1" x14ac:dyDescent="0.3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spans="1:29" ht="19.95" customHeight="1" x14ac:dyDescent="0.3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spans="1:29" ht="19.95" customHeight="1" x14ac:dyDescent="0.3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spans="1:29" ht="19.95" customHeight="1" x14ac:dyDescent="0.3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spans="1:29" ht="19.95" customHeight="1" x14ac:dyDescent="0.3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spans="1:29" ht="19.95" customHeight="1" x14ac:dyDescent="0.3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spans="1:29" ht="19.95" customHeight="1" x14ac:dyDescent="0.3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spans="1:29" ht="19.95" customHeight="1" x14ac:dyDescent="0.3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spans="1:29" ht="19.95" customHeight="1" x14ac:dyDescent="0.3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spans="1:29" ht="19.95" customHeight="1" x14ac:dyDescent="0.3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spans="1:29" ht="19.95" customHeight="1" x14ac:dyDescent="0.3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spans="1:29" ht="19.95" customHeight="1" x14ac:dyDescent="0.3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spans="1:29" ht="19.95" customHeight="1" x14ac:dyDescent="0.3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spans="1:29" ht="19.95" customHeight="1" x14ac:dyDescent="0.3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spans="1:29" ht="19.95" customHeight="1" x14ac:dyDescent="0.3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spans="1:29" ht="19.95" customHeight="1" x14ac:dyDescent="0.3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spans="1:29" ht="19.95" customHeight="1" x14ac:dyDescent="0.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spans="1:29" ht="19.95" customHeight="1" x14ac:dyDescent="0.3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spans="1:29" ht="19.95" customHeight="1" x14ac:dyDescent="0.3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spans="1:29" ht="19.95" customHeight="1" x14ac:dyDescent="0.3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spans="1:29" ht="19.95" customHeight="1" x14ac:dyDescent="0.3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spans="1:29" ht="19.95" customHeight="1" x14ac:dyDescent="0.3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spans="1:29" ht="19.95" customHeight="1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spans="1:29" ht="19.95" customHeight="1" x14ac:dyDescent="0.3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spans="1:29" ht="19.95" customHeight="1" x14ac:dyDescent="0.3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spans="1:29" ht="19.95" customHeight="1" x14ac:dyDescent="0.3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spans="1:29" ht="19.95" customHeight="1" x14ac:dyDescent="0.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spans="1:29" ht="19.95" customHeight="1" x14ac:dyDescent="0.3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spans="1:29" ht="19.95" customHeight="1" x14ac:dyDescent="0.3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spans="1:29" ht="19.95" customHeight="1" x14ac:dyDescent="0.3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spans="1:29" ht="19.95" customHeight="1" x14ac:dyDescent="0.3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spans="1:29" ht="19.95" customHeight="1" x14ac:dyDescent="0.3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spans="1:29" ht="19.95" customHeight="1" x14ac:dyDescent="0.3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spans="1:29" ht="19.95" customHeight="1" x14ac:dyDescent="0.3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spans="1:29" ht="19.95" customHeight="1" x14ac:dyDescent="0.3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spans="1:29" ht="19.95" customHeight="1" x14ac:dyDescent="0.3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spans="1:29" ht="19.95" customHeight="1" x14ac:dyDescent="0.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spans="1:29" ht="19.95" customHeight="1" x14ac:dyDescent="0.3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spans="1:29" ht="19.95" customHeight="1" x14ac:dyDescent="0.3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spans="1:29" ht="19.95" customHeight="1" x14ac:dyDescent="0.3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spans="1:29" ht="19.95" customHeight="1" x14ac:dyDescent="0.3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spans="1:29" ht="19.95" customHeight="1" x14ac:dyDescent="0.3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spans="1:29" ht="19.95" customHeight="1" x14ac:dyDescent="0.3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spans="1:29" ht="19.95" customHeight="1" x14ac:dyDescent="0.3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spans="1:29" ht="19.95" customHeight="1" x14ac:dyDescent="0.3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spans="1:29" ht="19.95" customHeight="1" x14ac:dyDescent="0.3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spans="1:29" ht="19.95" customHeight="1" x14ac:dyDescent="0.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spans="1:29" ht="19.95" customHeight="1" x14ac:dyDescent="0.3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spans="1:29" ht="19.95" customHeight="1" x14ac:dyDescent="0.3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spans="1:29" ht="19.95" customHeight="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spans="1:29" ht="19.95" customHeight="1" x14ac:dyDescent="0.3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spans="1:29" ht="19.95" customHeight="1" x14ac:dyDescent="0.3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spans="1:29" ht="19.95" customHeight="1" x14ac:dyDescent="0.3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spans="1:29" ht="19.95" customHeight="1" x14ac:dyDescent="0.3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spans="1:29" ht="19.95" customHeight="1" x14ac:dyDescent="0.3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spans="1:29" ht="19.95" customHeight="1" x14ac:dyDescent="0.3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spans="1:29" ht="19.95" customHeight="1" x14ac:dyDescent="0.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spans="1:29" ht="19.95" customHeight="1" x14ac:dyDescent="0.3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spans="1:29" ht="19.95" customHeight="1" x14ac:dyDescent="0.3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spans="1:29" ht="19.95" customHeight="1" x14ac:dyDescent="0.3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spans="1:29" ht="19.95" customHeight="1" x14ac:dyDescent="0.3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spans="1:29" ht="19.95" customHeight="1" x14ac:dyDescent="0.3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spans="1:29" ht="19.95" customHeight="1" x14ac:dyDescent="0.3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spans="1:29" ht="19.95" customHeight="1" x14ac:dyDescent="0.3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spans="1:29" ht="19.95" customHeight="1" x14ac:dyDescent="0.3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spans="1:29" ht="19.95" customHeight="1" x14ac:dyDescent="0.3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spans="1:29" ht="19.95" customHeight="1" x14ac:dyDescent="0.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spans="1:29" ht="19.95" customHeight="1" x14ac:dyDescent="0.3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spans="1:29" ht="19.95" customHeight="1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spans="1:29" ht="19.95" customHeight="1" x14ac:dyDescent="0.3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spans="1:29" ht="19.95" customHeight="1" x14ac:dyDescent="0.3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spans="1:29" ht="19.95" customHeight="1" x14ac:dyDescent="0.3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spans="1:29" ht="19.95" customHeight="1" x14ac:dyDescent="0.3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spans="1:29" ht="19.95" customHeight="1" x14ac:dyDescent="0.3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spans="1:29" ht="19.95" customHeight="1" x14ac:dyDescent="0.3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spans="1:29" ht="19.95" customHeight="1" x14ac:dyDescent="0.3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spans="1:29" ht="19.95" customHeight="1" x14ac:dyDescent="0.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spans="1:29" ht="19.95" customHeight="1" x14ac:dyDescent="0.3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spans="1:29" ht="19.95" customHeight="1" x14ac:dyDescent="0.3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spans="1:29" ht="19.95" customHeight="1" x14ac:dyDescent="0.3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spans="1:29" ht="19.95" customHeight="1" x14ac:dyDescent="0.3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spans="1:29" ht="19.95" customHeight="1" x14ac:dyDescent="0.3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spans="1:29" ht="19.95" customHeight="1" x14ac:dyDescent="0.3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spans="1:29" ht="19.95" customHeight="1" x14ac:dyDescent="0.3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spans="1:29" ht="19.95" customHeight="1" x14ac:dyDescent="0.3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spans="1:29" ht="19.95" customHeight="1" x14ac:dyDescent="0.3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spans="1:29" ht="19.95" customHeight="1" x14ac:dyDescent="0.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spans="1:29" ht="19.95" customHeight="1" x14ac:dyDescent="0.3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spans="1:29" ht="19.95" customHeight="1" x14ac:dyDescent="0.3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spans="1:29" ht="19.95" customHeight="1" x14ac:dyDescent="0.3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spans="1:29" ht="19.95" customHeight="1" x14ac:dyDescent="0.3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spans="1:29" ht="19.95" customHeight="1" x14ac:dyDescent="0.3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spans="1:29" ht="19.95" customHeight="1" x14ac:dyDescent="0.3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spans="1:29" ht="19.95" customHeight="1" x14ac:dyDescent="0.3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spans="1:29" ht="19.95" customHeight="1" x14ac:dyDescent="0.3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spans="1:29" ht="19.95" customHeight="1" x14ac:dyDescent="0.3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spans="1:29" ht="19.95" customHeight="1" x14ac:dyDescent="0.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spans="1:29" ht="19.95" customHeight="1" x14ac:dyDescent="0.3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spans="1:29" ht="19.95" customHeight="1" x14ac:dyDescent="0.3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spans="1:29" ht="19.95" customHeight="1" x14ac:dyDescent="0.3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spans="1:29" ht="19.95" customHeight="1" x14ac:dyDescent="0.3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spans="1:29" ht="19.95" customHeight="1" x14ac:dyDescent="0.3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spans="1:29" ht="19.95" customHeight="1" x14ac:dyDescent="0.3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spans="1:29" ht="19.95" customHeight="1" x14ac:dyDescent="0.3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spans="1:29" ht="19.95" customHeight="1" x14ac:dyDescent="0.3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spans="1:29" ht="19.95" customHeight="1" x14ac:dyDescent="0.3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spans="1:29" ht="19.95" customHeight="1" x14ac:dyDescent="0.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spans="1:29" ht="19.95" customHeight="1" x14ac:dyDescent="0.3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spans="1:29" ht="19.95" customHeight="1" x14ac:dyDescent="0.3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spans="1:29" ht="19.95" customHeight="1" x14ac:dyDescent="0.3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spans="1:29" ht="19.95" customHeight="1" x14ac:dyDescent="0.3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spans="1:29" ht="19.95" customHeight="1" x14ac:dyDescent="0.3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spans="1:29" ht="19.95" customHeight="1" x14ac:dyDescent="0.3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spans="1:29" ht="19.95" customHeight="1" x14ac:dyDescent="0.3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spans="1:29" ht="19.95" customHeight="1" x14ac:dyDescent="0.3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spans="1:29" ht="19.95" customHeight="1" x14ac:dyDescent="0.3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spans="1:29" ht="19.95" customHeight="1" x14ac:dyDescent="0.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spans="1:29" ht="19.95" customHeight="1" x14ac:dyDescent="0.3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spans="1:29" ht="19.95" customHeight="1" x14ac:dyDescent="0.3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spans="1:29" ht="19.95" customHeight="1" x14ac:dyDescent="0.3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spans="1:29" ht="19.95" customHeight="1" x14ac:dyDescent="0.3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spans="1:29" ht="19.95" customHeight="1" x14ac:dyDescent="0.3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spans="1:29" ht="19.95" customHeight="1" x14ac:dyDescent="0.3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spans="1:29" ht="19.95" customHeight="1" x14ac:dyDescent="0.3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spans="1:29" ht="19.95" customHeight="1" x14ac:dyDescent="0.3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spans="1:29" ht="19.95" customHeight="1" x14ac:dyDescent="0.3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spans="1:29" ht="19.95" customHeight="1" x14ac:dyDescent="0.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spans="1:29" ht="19.95" customHeight="1" x14ac:dyDescent="0.3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spans="1:29" ht="19.95" customHeight="1" x14ac:dyDescent="0.3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spans="1:29" ht="19.95" customHeight="1" x14ac:dyDescent="0.3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spans="1:29" ht="19.95" customHeight="1" x14ac:dyDescent="0.3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spans="1:29" ht="19.95" customHeight="1" x14ac:dyDescent="0.3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spans="1:29" ht="19.95" customHeight="1" x14ac:dyDescent="0.3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spans="1:29" ht="19.95" customHeight="1" x14ac:dyDescent="0.3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spans="1:29" ht="19.95" customHeight="1" x14ac:dyDescent="0.3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spans="1:29" ht="19.95" customHeight="1" x14ac:dyDescent="0.3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spans="1:29" ht="19.95" customHeight="1" x14ac:dyDescent="0.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spans="1:29" ht="19.95" customHeight="1" x14ac:dyDescent="0.3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spans="1:29" ht="19.95" customHeight="1" x14ac:dyDescent="0.3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spans="1:29" ht="19.95" customHeight="1" x14ac:dyDescent="0.3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spans="1:29" ht="19.95" customHeight="1" x14ac:dyDescent="0.3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spans="1:29" ht="19.95" customHeight="1" x14ac:dyDescent="0.3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spans="1:29" ht="19.95" customHeight="1" x14ac:dyDescent="0.3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spans="1:29" ht="19.95" customHeight="1" x14ac:dyDescent="0.3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spans="1:29" ht="19.95" customHeight="1" x14ac:dyDescent="0.3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spans="1:29" ht="19.95" customHeight="1" x14ac:dyDescent="0.3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spans="1:29" ht="19.95" customHeight="1" x14ac:dyDescent="0.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spans="1:29" ht="19.95" customHeight="1" x14ac:dyDescent="0.3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spans="1:29" ht="19.95" customHeight="1" x14ac:dyDescent="0.3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spans="1:29" ht="19.95" customHeight="1" x14ac:dyDescent="0.3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spans="1:29" ht="19.95" customHeight="1" x14ac:dyDescent="0.3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spans="1:29" ht="19.95" customHeight="1" x14ac:dyDescent="0.3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spans="1:29" ht="19.95" customHeight="1" x14ac:dyDescent="0.3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spans="1:29" ht="19.95" customHeight="1" x14ac:dyDescent="0.3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spans="1:29" ht="19.95" customHeight="1" x14ac:dyDescent="0.3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spans="1:29" ht="19.95" customHeight="1" x14ac:dyDescent="0.3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spans="1:29" ht="19.95" customHeight="1" x14ac:dyDescent="0.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spans="1:29" ht="19.95" customHeight="1" x14ac:dyDescent="0.3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spans="1:29" ht="19.95" customHeight="1" x14ac:dyDescent="0.3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spans="1:29" ht="19.95" customHeight="1" x14ac:dyDescent="0.3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spans="1:29" ht="19.95" customHeight="1" x14ac:dyDescent="0.3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spans="1:29" ht="19.95" customHeight="1" x14ac:dyDescent="0.3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spans="1:29" ht="19.95" customHeight="1" x14ac:dyDescent="0.3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spans="1:29" ht="19.95" customHeight="1" x14ac:dyDescent="0.3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spans="1:29" ht="19.95" customHeight="1" x14ac:dyDescent="0.3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spans="1:29" ht="19.95" customHeight="1" x14ac:dyDescent="0.3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spans="1:29" ht="19.95" customHeight="1" x14ac:dyDescent="0.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spans="1:29" ht="19.95" customHeight="1" x14ac:dyDescent="0.3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spans="1:29" ht="19.95" customHeight="1" x14ac:dyDescent="0.3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spans="1:29" ht="19.95" customHeight="1" x14ac:dyDescent="0.3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spans="1:29" ht="19.95" customHeight="1" x14ac:dyDescent="0.3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spans="1:29" ht="19.95" customHeight="1" x14ac:dyDescent="0.3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spans="1:29" ht="19.95" customHeight="1" x14ac:dyDescent="0.3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spans="1:29" ht="19.95" customHeight="1" x14ac:dyDescent="0.3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spans="1:29" ht="19.95" customHeight="1" x14ac:dyDescent="0.3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spans="1:29" ht="19.95" customHeight="1" x14ac:dyDescent="0.3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spans="1:29" ht="19.95" customHeight="1" x14ac:dyDescent="0.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spans="1:29" ht="19.95" customHeight="1" x14ac:dyDescent="0.3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spans="1:29" ht="19.95" customHeight="1" x14ac:dyDescent="0.3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spans="1:29" ht="19.95" customHeight="1" x14ac:dyDescent="0.3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spans="1:29" ht="19.95" customHeight="1" x14ac:dyDescent="0.3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spans="1:29" ht="19.95" customHeight="1" x14ac:dyDescent="0.3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spans="1:29" ht="19.95" customHeight="1" x14ac:dyDescent="0.3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spans="1:29" ht="19.95" customHeight="1" x14ac:dyDescent="0.3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spans="1:29" ht="19.95" customHeight="1" x14ac:dyDescent="0.3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spans="1:29" ht="19.95" customHeight="1" x14ac:dyDescent="0.3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spans="1:29" ht="19.95" customHeight="1" x14ac:dyDescent="0.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spans="1:29" ht="19.95" customHeight="1" x14ac:dyDescent="0.3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spans="1:29" ht="19.95" customHeight="1" x14ac:dyDescent="0.3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spans="1:29" ht="19.95" customHeight="1" x14ac:dyDescent="0.3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spans="1:29" ht="19.95" customHeight="1" x14ac:dyDescent="0.3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spans="1:29" ht="19.95" customHeight="1" x14ac:dyDescent="0.3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spans="1:29" ht="19.95" customHeight="1" x14ac:dyDescent="0.3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spans="1:29" ht="19.95" customHeight="1" x14ac:dyDescent="0.3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spans="1:29" ht="19.95" customHeight="1" x14ac:dyDescent="0.3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spans="1:29" ht="19.95" customHeight="1" x14ac:dyDescent="0.3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spans="1:29" ht="19.95" customHeight="1" x14ac:dyDescent="0.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spans="1:29" ht="19.95" customHeight="1" x14ac:dyDescent="0.3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spans="1:29" ht="19.95" customHeight="1" x14ac:dyDescent="0.3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spans="1:29" ht="19.95" customHeight="1" x14ac:dyDescent="0.3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spans="1:29" ht="19.95" customHeight="1" x14ac:dyDescent="0.3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spans="1:29" ht="19.95" customHeight="1" x14ac:dyDescent="0.3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spans="1:29" ht="19.95" customHeight="1" x14ac:dyDescent="0.3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spans="1:29" ht="19.95" customHeight="1" x14ac:dyDescent="0.3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spans="1:29" ht="19.95" customHeight="1" x14ac:dyDescent="0.3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spans="1:29" ht="19.95" customHeight="1" x14ac:dyDescent="0.3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spans="1:29" ht="19.95" customHeight="1" x14ac:dyDescent="0.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spans="1:29" ht="19.95" customHeight="1" x14ac:dyDescent="0.3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spans="1:29" ht="19.95" customHeight="1" x14ac:dyDescent="0.3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spans="1:29" ht="19.95" customHeight="1" x14ac:dyDescent="0.3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spans="1:29" ht="19.95" customHeight="1" x14ac:dyDescent="0.3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spans="1:29" ht="19.95" customHeight="1" x14ac:dyDescent="0.3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spans="1:29" ht="19.95" customHeight="1" x14ac:dyDescent="0.3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spans="1:29" ht="19.95" customHeight="1" x14ac:dyDescent="0.3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spans="1:29" ht="19.95" customHeight="1" x14ac:dyDescent="0.3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spans="1:29" ht="19.95" customHeight="1" x14ac:dyDescent="0.3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spans="1:29" ht="19.95" customHeight="1" x14ac:dyDescent="0.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spans="1:29" ht="19.95" customHeight="1" x14ac:dyDescent="0.3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spans="1:29" ht="19.95" customHeight="1" x14ac:dyDescent="0.3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spans="1:29" ht="19.95" customHeight="1" x14ac:dyDescent="0.3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spans="1:29" ht="19.95" customHeight="1" x14ac:dyDescent="0.3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spans="1:29" ht="19.95" customHeight="1" x14ac:dyDescent="0.3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spans="1:29" ht="19.95" customHeight="1" x14ac:dyDescent="0.3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spans="1:29" ht="19.95" customHeight="1" x14ac:dyDescent="0.3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spans="1:29" ht="19.95" customHeight="1" x14ac:dyDescent="0.3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spans="1:29" ht="19.95" customHeight="1" x14ac:dyDescent="0.3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spans="1:29" ht="19.95" customHeight="1" x14ac:dyDescent="0.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spans="1:29" ht="19.95" customHeight="1" x14ac:dyDescent="0.3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spans="1:29" ht="19.95" customHeight="1" x14ac:dyDescent="0.3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spans="1:29" ht="19.95" customHeight="1" x14ac:dyDescent="0.3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spans="1:29" ht="19.95" customHeight="1" x14ac:dyDescent="0.3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spans="1:29" ht="19.95" customHeight="1" x14ac:dyDescent="0.3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spans="1:29" ht="19.95" customHeight="1" x14ac:dyDescent="0.3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spans="1:29" ht="19.95" customHeight="1" x14ac:dyDescent="0.3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spans="1:29" ht="19.95" customHeight="1" x14ac:dyDescent="0.3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spans="1:29" ht="19.95" customHeight="1" x14ac:dyDescent="0.3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spans="1:29" ht="19.95" customHeight="1" x14ac:dyDescent="0.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spans="1:29" ht="19.95" customHeight="1" x14ac:dyDescent="0.3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spans="1:29" ht="19.95" customHeight="1" x14ac:dyDescent="0.3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spans="1:29" ht="19.95" customHeight="1" x14ac:dyDescent="0.3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spans="1:29" ht="19.95" customHeight="1" x14ac:dyDescent="0.3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spans="1:29" ht="19.95" customHeight="1" x14ac:dyDescent="0.3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spans="1:29" ht="19.95" customHeight="1" x14ac:dyDescent="0.3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spans="1:29" ht="19.95" customHeight="1" x14ac:dyDescent="0.3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spans="1:29" ht="19.95" customHeight="1" x14ac:dyDescent="0.3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spans="1:29" ht="19.95" customHeight="1" x14ac:dyDescent="0.3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spans="1:29" ht="19.95" customHeight="1" x14ac:dyDescent="0.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spans="1:29" ht="19.95" customHeight="1" x14ac:dyDescent="0.3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spans="1:29" ht="19.95" customHeight="1" x14ac:dyDescent="0.3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spans="1:29" ht="19.95" customHeight="1" x14ac:dyDescent="0.3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spans="1:29" ht="19.95" customHeight="1" x14ac:dyDescent="0.3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spans="1:29" ht="19.95" customHeight="1" x14ac:dyDescent="0.3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spans="1:29" ht="19.95" customHeight="1" x14ac:dyDescent="0.3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spans="1:29" ht="19.95" customHeight="1" x14ac:dyDescent="0.3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spans="1:29" ht="19.95" customHeight="1" x14ac:dyDescent="0.3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spans="1:29" ht="19.95" customHeight="1" x14ac:dyDescent="0.3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spans="1:29" ht="19.95" customHeight="1" x14ac:dyDescent="0.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spans="1:29" ht="19.95" customHeight="1" x14ac:dyDescent="0.3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spans="1:29" ht="19.95" customHeight="1" x14ac:dyDescent="0.3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spans="1:29" ht="19.95" customHeight="1" x14ac:dyDescent="0.3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spans="1:29" ht="19.95" customHeight="1" x14ac:dyDescent="0.3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spans="1:29" ht="19.95" customHeight="1" x14ac:dyDescent="0.3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spans="1:29" ht="19.95" customHeight="1" x14ac:dyDescent="0.3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spans="1:29" ht="19.95" customHeight="1" x14ac:dyDescent="0.3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spans="1:29" ht="19.95" customHeight="1" x14ac:dyDescent="0.3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spans="1:29" ht="19.95" customHeight="1" x14ac:dyDescent="0.3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spans="1:29" ht="19.95" customHeight="1" x14ac:dyDescent="0.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spans="1:29" ht="19.95" customHeight="1" x14ac:dyDescent="0.3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spans="1:29" ht="19.95" customHeight="1" x14ac:dyDescent="0.3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spans="1:29" ht="19.95" customHeight="1" x14ac:dyDescent="0.3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spans="1:29" ht="19.95" customHeight="1" x14ac:dyDescent="0.3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spans="1:29" ht="19.95" customHeight="1" x14ac:dyDescent="0.3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spans="1:29" ht="19.95" customHeight="1" x14ac:dyDescent="0.3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spans="1:29" ht="19.95" customHeight="1" x14ac:dyDescent="0.3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spans="1:29" ht="19.95" customHeight="1" x14ac:dyDescent="0.3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spans="1:29" ht="19.95" customHeight="1" x14ac:dyDescent="0.3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spans="1:29" ht="19.95" customHeight="1" x14ac:dyDescent="0.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spans="1:29" ht="19.95" customHeight="1" x14ac:dyDescent="0.3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spans="1:29" ht="19.95" customHeight="1" x14ac:dyDescent="0.3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spans="1:29" ht="19.95" customHeight="1" x14ac:dyDescent="0.3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spans="1:29" ht="19.95" customHeight="1" x14ac:dyDescent="0.3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spans="1:29" ht="19.95" customHeight="1" x14ac:dyDescent="0.3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spans="1:29" ht="19.95" customHeight="1" x14ac:dyDescent="0.3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spans="1:29" ht="19.95" customHeight="1" x14ac:dyDescent="0.3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spans="1:29" ht="19.95" customHeight="1" x14ac:dyDescent="0.3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spans="1:29" ht="19.95" customHeight="1" x14ac:dyDescent="0.3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spans="1:29" ht="19.95" customHeight="1" x14ac:dyDescent="0.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spans="1:29" ht="19.95" customHeight="1" x14ac:dyDescent="0.3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spans="1:29" ht="19.95" customHeight="1" x14ac:dyDescent="0.3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spans="1:29" ht="19.95" customHeight="1" x14ac:dyDescent="0.3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spans="1:29" ht="19.95" customHeight="1" x14ac:dyDescent="0.3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spans="1:29" ht="19.95" customHeight="1" x14ac:dyDescent="0.3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spans="1:29" ht="19.95" customHeight="1" x14ac:dyDescent="0.3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spans="1:29" ht="19.95" customHeight="1" x14ac:dyDescent="0.3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spans="1:29" ht="19.95" customHeight="1" x14ac:dyDescent="0.3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spans="1:29" ht="19.95" customHeight="1" x14ac:dyDescent="0.3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spans="1:29" ht="19.95" customHeight="1" x14ac:dyDescent="0.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spans="1:29" ht="19.95" customHeight="1" x14ac:dyDescent="0.3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spans="1:29" ht="19.95" customHeight="1" x14ac:dyDescent="0.3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spans="1:29" ht="19.95" customHeight="1" x14ac:dyDescent="0.3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spans="1:29" ht="19.95" customHeight="1" x14ac:dyDescent="0.3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spans="1:29" ht="19.95" customHeight="1" x14ac:dyDescent="0.3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spans="1:29" ht="19.95" customHeight="1" x14ac:dyDescent="0.3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spans="1:29" ht="19.95" customHeight="1" x14ac:dyDescent="0.3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spans="1:29" ht="19.95" customHeight="1" x14ac:dyDescent="0.3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spans="1:29" ht="19.95" customHeight="1" x14ac:dyDescent="0.3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spans="1:29" ht="19.95" customHeight="1" x14ac:dyDescent="0.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spans="1:29" ht="19.95" customHeight="1" x14ac:dyDescent="0.3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spans="1:29" ht="19.95" customHeight="1" x14ac:dyDescent="0.3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spans="1:29" ht="19.95" customHeight="1" x14ac:dyDescent="0.3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spans="1:29" ht="19.95" customHeight="1" x14ac:dyDescent="0.3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spans="1:29" ht="19.95" customHeight="1" x14ac:dyDescent="0.3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spans="1:29" ht="19.95" customHeight="1" x14ac:dyDescent="0.3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spans="1:29" ht="19.95" customHeight="1" x14ac:dyDescent="0.3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spans="1:29" ht="19.95" customHeight="1" x14ac:dyDescent="0.3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spans="1:29" ht="19.95" customHeight="1" x14ac:dyDescent="0.3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spans="1:29" ht="19.95" customHeight="1" x14ac:dyDescent="0.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spans="1:29" ht="19.95" customHeight="1" x14ac:dyDescent="0.3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spans="1:29" ht="19.95" customHeight="1" x14ac:dyDescent="0.3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spans="1:29" ht="19.95" customHeight="1" x14ac:dyDescent="0.3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spans="1:29" ht="19.95" customHeight="1" x14ac:dyDescent="0.3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spans="1:29" ht="19.95" customHeight="1" x14ac:dyDescent="0.3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spans="1:29" ht="19.95" customHeight="1" x14ac:dyDescent="0.3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spans="1:29" ht="19.95" customHeight="1" x14ac:dyDescent="0.3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spans="1:29" ht="19.95" customHeight="1" x14ac:dyDescent="0.3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spans="1:29" ht="19.95" customHeight="1" x14ac:dyDescent="0.3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spans="1:29" ht="19.95" customHeight="1" x14ac:dyDescent="0.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spans="1:29" ht="19.95" customHeight="1" x14ac:dyDescent="0.3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spans="1:29" ht="19.95" customHeight="1" x14ac:dyDescent="0.3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spans="1:29" ht="19.95" customHeight="1" x14ac:dyDescent="0.3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spans="1:29" ht="19.95" customHeight="1" x14ac:dyDescent="0.3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spans="1:29" ht="19.95" customHeight="1" x14ac:dyDescent="0.3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spans="1:29" ht="19.95" customHeight="1" x14ac:dyDescent="0.3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spans="1:29" ht="19.95" customHeight="1" x14ac:dyDescent="0.3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spans="1:29" ht="19.95" customHeight="1" x14ac:dyDescent="0.3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spans="1:29" ht="19.95" customHeight="1" x14ac:dyDescent="0.3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spans="1:29" ht="19.95" customHeight="1" x14ac:dyDescent="0.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spans="1:29" ht="19.95" customHeight="1" x14ac:dyDescent="0.3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spans="1:29" ht="19.95" customHeight="1" x14ac:dyDescent="0.3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spans="1:29" ht="19.95" customHeight="1" x14ac:dyDescent="0.3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spans="1:29" ht="19.95" customHeight="1" x14ac:dyDescent="0.3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spans="1:29" ht="19.95" customHeight="1" x14ac:dyDescent="0.3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spans="1:29" ht="19.95" customHeight="1" x14ac:dyDescent="0.3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spans="1:29" ht="19.95" customHeight="1" x14ac:dyDescent="0.3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spans="1:29" ht="19.95" customHeight="1" x14ac:dyDescent="0.3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spans="1:29" ht="19.95" customHeight="1" x14ac:dyDescent="0.3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spans="1:29" ht="19.95" customHeight="1" x14ac:dyDescent="0.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spans="1:29" ht="19.95" customHeight="1" x14ac:dyDescent="0.3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spans="1:29" ht="19.95" customHeight="1" x14ac:dyDescent="0.3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spans="1:29" ht="19.95" customHeight="1" x14ac:dyDescent="0.3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spans="1:29" ht="19.95" customHeight="1" x14ac:dyDescent="0.3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spans="1:29" ht="19.95" customHeight="1" x14ac:dyDescent="0.3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spans="1:29" ht="19.95" customHeight="1" x14ac:dyDescent="0.3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spans="1:29" ht="19.95" customHeight="1" x14ac:dyDescent="0.3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spans="1:29" ht="19.95" customHeight="1" x14ac:dyDescent="0.3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spans="1:29" ht="19.95" customHeight="1" x14ac:dyDescent="0.3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spans="1:29" ht="19.95" customHeight="1" x14ac:dyDescent="0.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spans="1:29" ht="19.95" customHeight="1" x14ac:dyDescent="0.3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spans="1:29" ht="19.95" customHeight="1" x14ac:dyDescent="0.3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spans="1:29" ht="19.95" customHeight="1" x14ac:dyDescent="0.3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spans="1:29" ht="19.95" customHeight="1" x14ac:dyDescent="0.3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spans="1:29" ht="19.95" customHeight="1" x14ac:dyDescent="0.3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spans="1:29" ht="19.95" customHeight="1" x14ac:dyDescent="0.3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spans="1:29" ht="19.95" customHeight="1" x14ac:dyDescent="0.3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spans="1:29" ht="19.95" customHeight="1" x14ac:dyDescent="0.3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spans="1:29" ht="19.95" customHeight="1" x14ac:dyDescent="0.3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spans="1:29" ht="19.95" customHeight="1" x14ac:dyDescent="0.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spans="1:29" ht="19.95" customHeight="1" x14ac:dyDescent="0.3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spans="1:29" ht="19.95" customHeight="1" x14ac:dyDescent="0.3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spans="1:29" ht="19.95" customHeight="1" x14ac:dyDescent="0.3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spans="1:29" ht="19.95" customHeight="1" x14ac:dyDescent="0.3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spans="1:29" ht="19.95" customHeight="1" x14ac:dyDescent="0.3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spans="1:29" ht="19.95" customHeight="1" x14ac:dyDescent="0.3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spans="1:29" ht="19.95" customHeight="1" x14ac:dyDescent="0.3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spans="1:29" ht="19.95" customHeight="1" x14ac:dyDescent="0.3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spans="1:29" ht="19.95" customHeight="1" x14ac:dyDescent="0.3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spans="1:29" ht="19.95" customHeight="1" x14ac:dyDescent="0.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spans="1:29" ht="19.95" customHeight="1" x14ac:dyDescent="0.3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spans="1:29" ht="19.95" customHeight="1" x14ac:dyDescent="0.3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spans="1:29" ht="19.95" customHeight="1" x14ac:dyDescent="0.3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spans="1:29" ht="19.95" customHeight="1" x14ac:dyDescent="0.3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spans="1:29" ht="19.95" customHeight="1" x14ac:dyDescent="0.3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spans="1:29" ht="19.95" customHeight="1" x14ac:dyDescent="0.3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spans="1:29" ht="19.95" customHeight="1" x14ac:dyDescent="0.3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spans="1:29" ht="19.95" customHeight="1" x14ac:dyDescent="0.3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spans="1:29" ht="19.95" customHeight="1" x14ac:dyDescent="0.3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spans="1:29" ht="19.95" customHeight="1" x14ac:dyDescent="0.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spans="1:29" ht="19.95" customHeight="1" x14ac:dyDescent="0.3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spans="1:29" ht="19.95" customHeight="1" x14ac:dyDescent="0.3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spans="1:29" ht="19.95" customHeight="1" x14ac:dyDescent="0.3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spans="1:29" ht="19.95" customHeight="1" x14ac:dyDescent="0.3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spans="1:29" ht="19.95" customHeight="1" x14ac:dyDescent="0.3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spans="1:29" ht="19.95" customHeight="1" x14ac:dyDescent="0.3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spans="1:29" ht="19.95" customHeight="1" x14ac:dyDescent="0.3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spans="1:29" ht="19.95" customHeight="1" x14ac:dyDescent="0.3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spans="1:29" ht="19.95" customHeight="1" x14ac:dyDescent="0.3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spans="1:29" ht="19.95" customHeight="1" x14ac:dyDescent="0.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spans="1:29" ht="19.95" customHeight="1" x14ac:dyDescent="0.3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spans="1:29" ht="19.95" customHeight="1" x14ac:dyDescent="0.3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spans="1:29" ht="19.95" customHeight="1" x14ac:dyDescent="0.3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spans="1:29" ht="19.95" customHeight="1" x14ac:dyDescent="0.3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spans="1:29" ht="19.95" customHeight="1" x14ac:dyDescent="0.3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spans="1:29" ht="19.95" customHeight="1" x14ac:dyDescent="0.3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spans="1:29" ht="19.95" customHeight="1" x14ac:dyDescent="0.3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spans="1:29" ht="19.95" customHeight="1" x14ac:dyDescent="0.3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spans="1:29" ht="19.95" customHeight="1" x14ac:dyDescent="0.3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spans="1:29" ht="19.95" customHeight="1" x14ac:dyDescent="0.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spans="1:29" ht="19.95" customHeight="1" x14ac:dyDescent="0.3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spans="1:29" ht="19.95" customHeight="1" x14ac:dyDescent="0.3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spans="1:29" ht="19.95" customHeight="1" x14ac:dyDescent="0.3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spans="1:29" ht="19.95" customHeight="1" x14ac:dyDescent="0.3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spans="1:29" ht="19.95" customHeight="1" x14ac:dyDescent="0.3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spans="1:29" ht="19.95" customHeight="1" x14ac:dyDescent="0.3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spans="1:29" ht="19.95" customHeight="1" x14ac:dyDescent="0.3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spans="1:29" ht="19.95" customHeight="1" x14ac:dyDescent="0.3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spans="1:29" ht="19.95" customHeight="1" x14ac:dyDescent="0.3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spans="1:29" ht="19.95" customHeight="1" x14ac:dyDescent="0.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spans="1:29" ht="19.95" customHeight="1" x14ac:dyDescent="0.3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spans="1:29" ht="19.95" customHeight="1" x14ac:dyDescent="0.3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spans="1:29" ht="19.95" customHeight="1" x14ac:dyDescent="0.3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spans="1:29" ht="19.95" customHeight="1" x14ac:dyDescent="0.3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spans="1:29" ht="19.95" customHeight="1" x14ac:dyDescent="0.3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spans="1:29" ht="19.95" customHeight="1" x14ac:dyDescent="0.3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spans="1:29" ht="19.95" customHeight="1" x14ac:dyDescent="0.3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spans="1:29" ht="19.95" customHeight="1" x14ac:dyDescent="0.3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spans="1:29" ht="19.95" customHeight="1" x14ac:dyDescent="0.3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spans="1:29" ht="19.95" customHeight="1" x14ac:dyDescent="0.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spans="1:29" ht="19.95" customHeight="1" x14ac:dyDescent="0.3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spans="1:29" ht="19.95" customHeight="1" x14ac:dyDescent="0.3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spans="1:29" ht="19.95" customHeight="1" x14ac:dyDescent="0.3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spans="1:29" ht="19.95" customHeight="1" x14ac:dyDescent="0.3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spans="1:29" ht="19.95" customHeight="1" x14ac:dyDescent="0.3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spans="1:29" ht="19.95" customHeight="1" x14ac:dyDescent="0.3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spans="1:29" ht="19.95" customHeight="1" x14ac:dyDescent="0.3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spans="1:29" ht="19.95" customHeight="1" x14ac:dyDescent="0.3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spans="1:29" ht="19.95" customHeight="1" x14ac:dyDescent="0.3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spans="1:29" ht="19.95" customHeight="1" x14ac:dyDescent="0.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spans="1:29" ht="19.95" customHeight="1" x14ac:dyDescent="0.3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spans="1:29" ht="19.95" customHeight="1" x14ac:dyDescent="0.3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spans="1:29" ht="19.95" customHeight="1" x14ac:dyDescent="0.3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spans="1:29" ht="19.95" customHeight="1" x14ac:dyDescent="0.3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spans="1:29" ht="19.95" customHeight="1" x14ac:dyDescent="0.3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spans="1:29" ht="19.95" customHeight="1" x14ac:dyDescent="0.3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spans="1:29" ht="19.95" customHeight="1" x14ac:dyDescent="0.3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spans="1:29" ht="19.95" customHeight="1" x14ac:dyDescent="0.3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spans="1:29" ht="19.95" customHeight="1" x14ac:dyDescent="0.3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spans="1:29" ht="19.95" customHeight="1" x14ac:dyDescent="0.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spans="1:29" ht="19.95" customHeight="1" x14ac:dyDescent="0.3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spans="1:29" ht="19.95" customHeight="1" x14ac:dyDescent="0.3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spans="1:29" ht="19.95" customHeight="1" x14ac:dyDescent="0.3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spans="1:29" ht="19.95" customHeight="1" x14ac:dyDescent="0.3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spans="1:29" ht="19.95" customHeight="1" x14ac:dyDescent="0.3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spans="1:29" ht="19.95" customHeight="1" x14ac:dyDescent="0.3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spans="1:29" ht="19.95" customHeight="1" x14ac:dyDescent="0.3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spans="1:29" ht="19.95" customHeight="1" x14ac:dyDescent="0.3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spans="1:29" ht="19.95" customHeight="1" x14ac:dyDescent="0.3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spans="1:29" ht="19.95" customHeight="1" x14ac:dyDescent="0.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spans="1:29" ht="19.95" customHeight="1" x14ac:dyDescent="0.3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spans="1:29" ht="19.95" customHeight="1" x14ac:dyDescent="0.3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spans="1:29" ht="19.95" customHeight="1" x14ac:dyDescent="0.3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spans="1:29" ht="19.95" customHeight="1" x14ac:dyDescent="0.3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spans="1:29" ht="19.95" customHeight="1" x14ac:dyDescent="0.3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spans="1:29" ht="19.95" customHeight="1" x14ac:dyDescent="0.3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spans="1:29" ht="19.95" customHeight="1" x14ac:dyDescent="0.3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spans="1:29" ht="19.95" customHeight="1" x14ac:dyDescent="0.3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spans="1:29" ht="19.95" customHeight="1" x14ac:dyDescent="0.3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spans="1:29" ht="19.95" customHeight="1" x14ac:dyDescent="0.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spans="1:29" ht="19.95" customHeight="1" x14ac:dyDescent="0.3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spans="1:29" ht="19.95" customHeight="1" x14ac:dyDescent="0.3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spans="1:29" ht="19.95" customHeight="1" x14ac:dyDescent="0.3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spans="1:29" ht="19.95" customHeight="1" x14ac:dyDescent="0.3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spans="1:29" ht="19.95" customHeight="1" x14ac:dyDescent="0.3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spans="1:29" ht="19.95" customHeight="1" x14ac:dyDescent="0.3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spans="1:29" ht="19.95" customHeight="1" x14ac:dyDescent="0.3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spans="1:29" ht="19.95" customHeight="1" x14ac:dyDescent="0.3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spans="1:29" ht="19.95" customHeight="1" x14ac:dyDescent="0.3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spans="1:29" ht="19.95" customHeight="1" x14ac:dyDescent="0.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spans="1:29" ht="19.95" customHeight="1" x14ac:dyDescent="0.3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spans="1:29" ht="19.95" customHeight="1" x14ac:dyDescent="0.3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spans="1:29" ht="19.95" customHeight="1" x14ac:dyDescent="0.3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spans="1:29" ht="19.95" customHeight="1" x14ac:dyDescent="0.3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spans="1:29" ht="19.95" customHeight="1" x14ac:dyDescent="0.3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spans="1:29" ht="19.95" customHeight="1" x14ac:dyDescent="0.3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spans="1:29" ht="19.95" customHeight="1" x14ac:dyDescent="0.3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spans="1:29" ht="19.95" customHeight="1" x14ac:dyDescent="0.3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spans="1:29" ht="19.95" customHeight="1" x14ac:dyDescent="0.3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spans="1:29" ht="19.95" customHeight="1" x14ac:dyDescent="0.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spans="1:29" ht="19.95" customHeight="1" x14ac:dyDescent="0.3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spans="1:29" ht="19.95" customHeight="1" x14ac:dyDescent="0.3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spans="1:29" ht="19.95" customHeight="1" x14ac:dyDescent="0.3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spans="1:29" ht="19.95" customHeight="1" x14ac:dyDescent="0.3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spans="1:29" ht="19.95" customHeight="1" x14ac:dyDescent="0.3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spans="1:29" ht="19.95" customHeight="1" x14ac:dyDescent="0.3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spans="1:29" ht="19.95" customHeight="1" x14ac:dyDescent="0.3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spans="1:29" ht="19.95" customHeight="1" x14ac:dyDescent="0.3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spans="1:29" ht="19.95" customHeight="1" x14ac:dyDescent="0.3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spans="1:29" ht="19.95" customHeight="1" x14ac:dyDescent="0.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spans="1:29" ht="19.95" customHeight="1" x14ac:dyDescent="0.3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spans="1:29" ht="19.95" customHeight="1" x14ac:dyDescent="0.3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spans="1:29" ht="19.95" customHeight="1" x14ac:dyDescent="0.3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spans="1:29" ht="19.95" customHeight="1" x14ac:dyDescent="0.3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spans="1:29" ht="19.95" customHeight="1" x14ac:dyDescent="0.3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spans="1:29" ht="19.95" customHeight="1" x14ac:dyDescent="0.3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spans="1:29" ht="19.95" customHeight="1" x14ac:dyDescent="0.3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spans="1:29" ht="19.95" customHeight="1" x14ac:dyDescent="0.3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spans="1:29" ht="19.95" customHeight="1" x14ac:dyDescent="0.3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spans="1:29" ht="19.95" customHeight="1" x14ac:dyDescent="0.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spans="1:29" ht="19.95" customHeight="1" x14ac:dyDescent="0.3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spans="1:29" ht="19.95" customHeight="1" x14ac:dyDescent="0.3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spans="1:29" ht="19.95" customHeight="1" x14ac:dyDescent="0.3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spans="1:29" ht="19.95" customHeight="1" x14ac:dyDescent="0.3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spans="1:29" ht="19.95" customHeight="1" x14ac:dyDescent="0.3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spans="1:29" ht="19.95" customHeight="1" x14ac:dyDescent="0.3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spans="1:29" ht="19.95" customHeight="1" x14ac:dyDescent="0.3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spans="1:29" ht="19.95" customHeight="1" x14ac:dyDescent="0.3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spans="1:29" ht="19.95" customHeight="1" x14ac:dyDescent="0.3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spans="1:29" ht="19.95" customHeight="1" x14ac:dyDescent="0.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spans="1:29" ht="19.95" customHeight="1" x14ac:dyDescent="0.3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spans="1:29" ht="19.95" customHeight="1" x14ac:dyDescent="0.3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spans="1:29" ht="19.95" customHeight="1" x14ac:dyDescent="0.3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spans="1:29" ht="19.95" customHeight="1" x14ac:dyDescent="0.3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spans="1:29" ht="19.95" customHeight="1" x14ac:dyDescent="0.3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spans="1:29" ht="19.95" customHeight="1" x14ac:dyDescent="0.3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spans="1:29" ht="19.95" customHeight="1" x14ac:dyDescent="0.3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spans="1:29" ht="19.95" customHeight="1" x14ac:dyDescent="0.3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spans="1:29" ht="19.95" customHeight="1" x14ac:dyDescent="0.3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spans="1:29" ht="19.95" customHeight="1" x14ac:dyDescent="0.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spans="1:29" ht="19.95" customHeight="1" x14ac:dyDescent="0.3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spans="1:29" ht="19.95" customHeight="1" x14ac:dyDescent="0.3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spans="1:29" ht="19.95" customHeight="1" x14ac:dyDescent="0.3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spans="1:29" ht="19.95" customHeight="1" x14ac:dyDescent="0.3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spans="1:29" ht="19.95" customHeight="1" x14ac:dyDescent="0.3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spans="1:29" ht="19.95" customHeight="1" x14ac:dyDescent="0.3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spans="1:29" ht="19.95" customHeight="1" x14ac:dyDescent="0.3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spans="1:29" ht="19.95" customHeight="1" x14ac:dyDescent="0.3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spans="1:29" ht="19.95" customHeight="1" x14ac:dyDescent="0.3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spans="1:29" ht="19.95" customHeight="1" x14ac:dyDescent="0.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spans="1:29" ht="19.95" customHeight="1" x14ac:dyDescent="0.3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spans="1:29" ht="19.95" customHeight="1" x14ac:dyDescent="0.3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spans="1:29" ht="19.95" customHeight="1" x14ac:dyDescent="0.3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spans="1:29" ht="19.95" customHeight="1" x14ac:dyDescent="0.3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spans="1:29" ht="19.95" customHeight="1" x14ac:dyDescent="0.3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spans="1:29" ht="19.95" customHeight="1" x14ac:dyDescent="0.3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spans="1:29" ht="19.95" customHeight="1" x14ac:dyDescent="0.3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spans="1:29" ht="19.95" customHeight="1" x14ac:dyDescent="0.3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spans="1:29" ht="19.95" customHeight="1" x14ac:dyDescent="0.3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spans="1:29" ht="19.95" customHeight="1" x14ac:dyDescent="0.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spans="1:29" ht="19.95" customHeight="1" x14ac:dyDescent="0.3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spans="1:29" ht="19.95" customHeight="1" x14ac:dyDescent="0.3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spans="1:29" ht="19.95" customHeight="1" x14ac:dyDescent="0.3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spans="1:29" ht="19.95" customHeight="1" x14ac:dyDescent="0.3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spans="1:29" ht="19.95" customHeight="1" x14ac:dyDescent="0.3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spans="1:29" ht="19.95" customHeight="1" x14ac:dyDescent="0.3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spans="1:29" ht="19.95" customHeight="1" x14ac:dyDescent="0.3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spans="1:29" ht="19.95" customHeight="1" x14ac:dyDescent="0.3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spans="1:29" ht="19.95" customHeight="1" x14ac:dyDescent="0.3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spans="1:29" ht="19.95" customHeight="1" x14ac:dyDescent="0.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spans="1:29" ht="19.95" customHeight="1" x14ac:dyDescent="0.3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spans="1:29" ht="19.95" customHeight="1" x14ac:dyDescent="0.3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spans="1:29" ht="19.95" customHeight="1" x14ac:dyDescent="0.3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spans="1:29" ht="19.95" customHeight="1" x14ac:dyDescent="0.3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spans="1:29" ht="19.95" customHeight="1" x14ac:dyDescent="0.3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spans="1:29" ht="19.95" customHeight="1" x14ac:dyDescent="0.3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spans="1:29" ht="19.95" customHeight="1" x14ac:dyDescent="0.3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spans="1:29" ht="19.95" customHeight="1" x14ac:dyDescent="0.3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spans="1:29" ht="19.95" customHeight="1" x14ac:dyDescent="0.3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spans="1:29" ht="19.95" customHeight="1" x14ac:dyDescent="0.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spans="1:29" ht="19.95" customHeight="1" x14ac:dyDescent="0.3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spans="1:29" ht="19.95" customHeight="1" x14ac:dyDescent="0.3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spans="1:29" ht="19.95" customHeight="1" x14ac:dyDescent="0.3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spans="1:29" ht="19.95" customHeight="1" x14ac:dyDescent="0.3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spans="1:29" ht="19.95" customHeight="1" x14ac:dyDescent="0.3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spans="1:29" ht="19.95" customHeight="1" x14ac:dyDescent="0.3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spans="1:29" ht="19.95" customHeight="1" x14ac:dyDescent="0.3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spans="1:29" ht="19.95" customHeight="1" x14ac:dyDescent="0.3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spans="1:29" ht="19.95" customHeight="1" x14ac:dyDescent="0.3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spans="1:29" ht="19.95" customHeight="1" x14ac:dyDescent="0.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spans="1:29" ht="19.95" customHeight="1" x14ac:dyDescent="0.3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spans="1:29" ht="19.95" customHeight="1" x14ac:dyDescent="0.3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spans="1:29" ht="19.95" customHeight="1" x14ac:dyDescent="0.3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spans="1:29" ht="19.95" customHeight="1" x14ac:dyDescent="0.3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spans="1:29" ht="19.95" customHeight="1" x14ac:dyDescent="0.3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spans="1:29" ht="19.95" customHeight="1" x14ac:dyDescent="0.3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spans="1:29" ht="19.95" customHeight="1" x14ac:dyDescent="0.3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spans="1:29" ht="19.95" customHeight="1" x14ac:dyDescent="0.3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spans="1:29" ht="19.95" customHeight="1" x14ac:dyDescent="0.3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spans="1:29" ht="19.95" customHeight="1" x14ac:dyDescent="0.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spans="1:29" ht="19.95" customHeight="1" x14ac:dyDescent="0.3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spans="1:29" ht="19.95" customHeight="1" x14ac:dyDescent="0.3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spans="1:29" ht="19.95" customHeight="1" x14ac:dyDescent="0.3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spans="1:29" ht="19.95" customHeight="1" x14ac:dyDescent="0.3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spans="1:29" ht="19.95" customHeight="1" x14ac:dyDescent="0.3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spans="1:29" ht="19.95" customHeight="1" x14ac:dyDescent="0.3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spans="1:29" ht="19.95" customHeight="1" x14ac:dyDescent="0.3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spans="1:29" ht="19.95" customHeight="1" x14ac:dyDescent="0.3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spans="1:29" ht="19.95" customHeight="1" x14ac:dyDescent="0.3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spans="1:29" ht="19.95" customHeight="1" x14ac:dyDescent="0.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spans="1:29" ht="19.95" customHeight="1" x14ac:dyDescent="0.3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spans="1:29" ht="19.95" customHeight="1" x14ac:dyDescent="0.3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spans="1:29" ht="19.95" customHeight="1" x14ac:dyDescent="0.3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spans="1:29" ht="19.95" customHeight="1" x14ac:dyDescent="0.3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spans="1:29" ht="19.95" customHeight="1" x14ac:dyDescent="0.3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spans="1:29" ht="19.95" customHeight="1" x14ac:dyDescent="0.3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spans="1:29" ht="19.95" customHeight="1" x14ac:dyDescent="0.3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spans="1:29" ht="19.95" customHeight="1" x14ac:dyDescent="0.3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spans="1:29" ht="19.95" customHeight="1" x14ac:dyDescent="0.3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spans="1:29" ht="19.95" customHeight="1" x14ac:dyDescent="0.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spans="1:29" ht="19.95" customHeight="1" x14ac:dyDescent="0.3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spans="1:29" ht="19.95" customHeight="1" x14ac:dyDescent="0.3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spans="1:29" ht="19.95" customHeight="1" x14ac:dyDescent="0.3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spans="1:29" ht="19.95" customHeight="1" x14ac:dyDescent="0.3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spans="1:29" ht="19.95" customHeight="1" x14ac:dyDescent="0.3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spans="1:29" ht="19.95" customHeight="1" x14ac:dyDescent="0.3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spans="1:29" ht="19.95" customHeight="1" x14ac:dyDescent="0.3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spans="1:29" ht="19.95" customHeight="1" x14ac:dyDescent="0.3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spans="1:29" ht="19.95" customHeight="1" x14ac:dyDescent="0.3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spans="1:29" ht="19.95" customHeight="1" x14ac:dyDescent="0.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spans="1:29" ht="19.95" customHeight="1" x14ac:dyDescent="0.3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spans="1:29" ht="19.95" customHeight="1" x14ac:dyDescent="0.3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spans="1:29" ht="19.95" customHeight="1" x14ac:dyDescent="0.3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spans="1:29" ht="19.95" customHeight="1" x14ac:dyDescent="0.3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spans="1:29" ht="19.95" customHeight="1" x14ac:dyDescent="0.3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spans="1:29" ht="19.95" customHeight="1" x14ac:dyDescent="0.3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spans="1:29" ht="19.95" customHeight="1" x14ac:dyDescent="0.3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spans="1:29" ht="19.95" customHeight="1" x14ac:dyDescent="0.3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spans="1:29" ht="19.95" customHeight="1" x14ac:dyDescent="0.3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spans="1:29" ht="19.95" customHeight="1" x14ac:dyDescent="0.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spans="1:29" ht="19.95" customHeight="1" x14ac:dyDescent="0.3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spans="1:29" ht="19.95" customHeight="1" x14ac:dyDescent="0.3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spans="1:29" ht="19.95" customHeight="1" x14ac:dyDescent="0.3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spans="1:29" ht="19.95" customHeight="1" x14ac:dyDescent="0.3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spans="1:29" ht="19.95" customHeight="1" x14ac:dyDescent="0.3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spans="1:29" ht="19.95" customHeight="1" x14ac:dyDescent="0.3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spans="1:29" ht="19.95" customHeight="1" x14ac:dyDescent="0.3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spans="1:29" ht="19.95" customHeight="1" x14ac:dyDescent="0.3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spans="1:29" ht="19.95" customHeight="1" x14ac:dyDescent="0.3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spans="1:29" ht="19.95" customHeight="1" x14ac:dyDescent="0.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spans="1:29" ht="19.95" customHeight="1" x14ac:dyDescent="0.3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spans="1:29" ht="19.95" customHeight="1" x14ac:dyDescent="0.3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spans="1:29" ht="19.95" customHeight="1" x14ac:dyDescent="0.3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spans="1:29" ht="19.95" customHeight="1" x14ac:dyDescent="0.3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spans="1:29" ht="19.95" customHeight="1" x14ac:dyDescent="0.3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spans="1:29" ht="19.95" customHeight="1" x14ac:dyDescent="0.3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spans="1:29" ht="19.95" customHeight="1" x14ac:dyDescent="0.3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spans="1:29" ht="19.95" customHeight="1" x14ac:dyDescent="0.3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spans="1:29" ht="19.95" customHeight="1" x14ac:dyDescent="0.3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spans="1:29" ht="19.95" customHeight="1" x14ac:dyDescent="0.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spans="1:29" ht="19.95" customHeight="1" x14ac:dyDescent="0.3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spans="1:29" ht="19.95" customHeight="1" x14ac:dyDescent="0.3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spans="1:29" ht="19.95" customHeight="1" x14ac:dyDescent="0.3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spans="1:29" ht="19.95" customHeight="1" x14ac:dyDescent="0.3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spans="1:29" ht="19.95" customHeight="1" x14ac:dyDescent="0.3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spans="1:29" ht="19.95" customHeight="1" x14ac:dyDescent="0.3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spans="1:29" ht="19.95" customHeight="1" x14ac:dyDescent="0.3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spans="1:29" ht="19.95" customHeight="1" x14ac:dyDescent="0.3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spans="1:29" ht="19.95" customHeight="1" x14ac:dyDescent="0.3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spans="1:29" ht="19.95" customHeight="1" x14ac:dyDescent="0.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spans="1:29" ht="19.95" customHeight="1" x14ac:dyDescent="0.3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spans="1:29" ht="19.95" customHeight="1" x14ac:dyDescent="0.3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spans="1:29" ht="19.95" customHeight="1" x14ac:dyDescent="0.3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spans="1:29" ht="19.95" customHeight="1" x14ac:dyDescent="0.3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spans="1:29" ht="19.95" customHeight="1" x14ac:dyDescent="0.3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spans="1:29" ht="19.95" customHeight="1" x14ac:dyDescent="0.3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spans="1:29" ht="19.95" customHeight="1" x14ac:dyDescent="0.3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spans="1:29" ht="19.95" customHeight="1" x14ac:dyDescent="0.3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spans="1:29" ht="19.95" customHeight="1" x14ac:dyDescent="0.3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spans="1:29" ht="19.95" customHeight="1" x14ac:dyDescent="0.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spans="1:29" ht="19.95" customHeight="1" x14ac:dyDescent="0.3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spans="1:29" ht="19.95" customHeight="1" x14ac:dyDescent="0.3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spans="1:29" ht="19.95" customHeight="1" x14ac:dyDescent="0.3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spans="1:29" ht="19.95" customHeight="1" x14ac:dyDescent="0.3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spans="1:29" ht="19.95" customHeight="1" x14ac:dyDescent="0.3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spans="1:29" ht="19.95" customHeight="1" x14ac:dyDescent="0.3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spans="1:29" ht="19.95" customHeight="1" x14ac:dyDescent="0.3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spans="1:29" ht="19.95" customHeight="1" x14ac:dyDescent="0.3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spans="1:29" ht="19.95" customHeight="1" x14ac:dyDescent="0.3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spans="1:29" ht="19.95" customHeight="1" x14ac:dyDescent="0.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spans="1:29" ht="19.95" customHeight="1" x14ac:dyDescent="0.3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spans="1:29" ht="19.95" customHeight="1" x14ac:dyDescent="0.3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spans="1:29" ht="19.95" customHeight="1" x14ac:dyDescent="0.3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spans="1:29" ht="19.95" customHeight="1" x14ac:dyDescent="0.3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spans="1:29" ht="19.95" customHeight="1" x14ac:dyDescent="0.3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spans="1:29" ht="19.95" customHeight="1" x14ac:dyDescent="0.3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spans="1:29" ht="19.95" customHeight="1" x14ac:dyDescent="0.3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spans="1:29" ht="19.95" customHeight="1" x14ac:dyDescent="0.3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spans="1:29" ht="19.95" customHeight="1" x14ac:dyDescent="0.3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spans="1:29" ht="19.95" customHeight="1" x14ac:dyDescent="0.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spans="1:29" ht="19.95" customHeight="1" x14ac:dyDescent="0.3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spans="1:29" ht="19.95" customHeight="1" x14ac:dyDescent="0.3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spans="1:29" ht="19.95" customHeight="1" x14ac:dyDescent="0.3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spans="1:29" ht="19.95" customHeight="1" x14ac:dyDescent="0.3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spans="1:29" ht="19.95" customHeight="1" x14ac:dyDescent="0.3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spans="1:29" ht="19.95" customHeight="1" x14ac:dyDescent="0.3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spans="1:29" ht="19.95" customHeight="1" x14ac:dyDescent="0.3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spans="1:29" ht="19.95" customHeight="1" x14ac:dyDescent="0.3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spans="1:29" ht="19.95" customHeight="1" x14ac:dyDescent="0.3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spans="1:29" ht="19.95" customHeight="1" x14ac:dyDescent="0.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spans="1:29" ht="19.95" customHeight="1" x14ac:dyDescent="0.3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spans="1:29" ht="19.95" customHeight="1" x14ac:dyDescent="0.3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spans="1:29" ht="19.95" customHeight="1" x14ac:dyDescent="0.3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spans="1:29" ht="19.95" customHeight="1" x14ac:dyDescent="0.3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spans="1:29" ht="19.95" customHeight="1" x14ac:dyDescent="0.3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spans="1:29" ht="19.95" customHeight="1" x14ac:dyDescent="0.3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spans="1:29" ht="19.95" customHeight="1" x14ac:dyDescent="0.3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spans="1:29" ht="19.95" customHeight="1" x14ac:dyDescent="0.3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spans="1:29" ht="19.95" customHeight="1" x14ac:dyDescent="0.3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spans="1:29" ht="19.95" customHeight="1" x14ac:dyDescent="0.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spans="1:29" ht="19.95" customHeight="1" x14ac:dyDescent="0.3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spans="1:29" ht="19.95" customHeight="1" x14ac:dyDescent="0.3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spans="1:29" ht="19.95" customHeight="1" x14ac:dyDescent="0.3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spans="1:29" ht="19.95" customHeight="1" x14ac:dyDescent="0.3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spans="1:29" ht="19.95" customHeight="1" x14ac:dyDescent="0.3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spans="1:29" ht="19.95" customHeight="1" x14ac:dyDescent="0.3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spans="1:29" ht="19.95" customHeight="1" x14ac:dyDescent="0.3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spans="1:29" ht="19.95" customHeight="1" x14ac:dyDescent="0.3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spans="1:29" ht="19.95" customHeight="1" x14ac:dyDescent="0.3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spans="1:29" ht="19.95" customHeight="1" x14ac:dyDescent="0.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spans="1:29" ht="19.95" customHeight="1" x14ac:dyDescent="0.3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spans="1:29" ht="19.95" customHeight="1" x14ac:dyDescent="0.3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spans="1:29" ht="19.95" customHeight="1" x14ac:dyDescent="0.3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spans="1:29" ht="19.95" customHeight="1" x14ac:dyDescent="0.3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spans="1:29" ht="19.95" customHeight="1" x14ac:dyDescent="0.3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spans="1:29" ht="19.95" customHeight="1" x14ac:dyDescent="0.3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spans="1:29" ht="19.95" customHeight="1" x14ac:dyDescent="0.3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spans="1:29" ht="19.95" customHeight="1" x14ac:dyDescent="0.3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spans="1:29" ht="19.95" customHeight="1" x14ac:dyDescent="0.3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spans="1:29" ht="19.95" customHeight="1" x14ac:dyDescent="0.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spans="1:29" ht="19.95" customHeight="1" x14ac:dyDescent="0.3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spans="1:29" ht="19.95" customHeight="1" x14ac:dyDescent="0.3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spans="1:29" ht="19.95" customHeight="1" x14ac:dyDescent="0.3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spans="1:29" ht="19.95" customHeight="1" x14ac:dyDescent="0.3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spans="1:29" ht="19.95" customHeight="1" x14ac:dyDescent="0.3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spans="1:29" ht="19.95" customHeight="1" x14ac:dyDescent="0.3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spans="1:29" ht="19.95" customHeight="1" x14ac:dyDescent="0.3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spans="1:29" ht="19.95" customHeight="1" x14ac:dyDescent="0.3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spans="1:29" ht="19.95" customHeight="1" x14ac:dyDescent="0.3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spans="1:29" ht="19.95" customHeight="1" x14ac:dyDescent="0.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spans="1:29" ht="19.95" customHeight="1" x14ac:dyDescent="0.3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  <row r="995" spans="1:29" ht="19.95" customHeight="1" x14ac:dyDescent="0.3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</row>
    <row r="996" spans="1:29" ht="19.95" customHeight="1" x14ac:dyDescent="0.3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</row>
    <row r="997" spans="1:29" ht="19.95" customHeight="1" x14ac:dyDescent="0.3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</row>
    <row r="998" spans="1:29" ht="19.95" customHeight="1" x14ac:dyDescent="0.3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</row>
    <row r="999" spans="1:29" ht="19.95" customHeight="1" x14ac:dyDescent="0.3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</row>
    <row r="1000" spans="1:29" ht="19.95" customHeight="1" x14ac:dyDescent="0.3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</row>
    <row r="1001" spans="1:29" ht="19.95" customHeight="1" x14ac:dyDescent="0.3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</row>
    <row r="1002" spans="1:29" ht="19.95" customHeight="1" x14ac:dyDescent="0.3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</row>
    <row r="1003" spans="1:29" ht="19.95" customHeight="1" x14ac:dyDescent="0.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</row>
    <row r="1004" spans="1:29" ht="19.95" customHeight="1" x14ac:dyDescent="0.3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</row>
    <row r="1005" spans="1:29" ht="19.95" customHeight="1" x14ac:dyDescent="0.3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</row>
    <row r="1006" spans="1:29" ht="19.95" customHeight="1" x14ac:dyDescent="0.3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</row>
    <row r="1007" spans="1:29" ht="19.95" customHeight="1" x14ac:dyDescent="0.3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</row>
    <row r="1008" spans="1:29" ht="19.95" customHeight="1" x14ac:dyDescent="0.3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</row>
    <row r="1009" spans="1:29" ht="19.95" customHeight="1" x14ac:dyDescent="0.3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</row>
    <row r="1010" spans="1:29" ht="19.95" customHeight="1" x14ac:dyDescent="0.3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</row>
    <row r="1011" spans="1:29" ht="19.95" customHeight="1" x14ac:dyDescent="0.3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</row>
    <row r="1012" spans="1:29" ht="19.95" customHeight="1" x14ac:dyDescent="0.3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</row>
    <row r="1013" spans="1:29" ht="19.95" customHeight="1" x14ac:dyDescent="0.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  <c r="AB1013" s="18"/>
      <c r="AC1013" s="18"/>
    </row>
    <row r="1014" spans="1:29" ht="19.95" customHeight="1" x14ac:dyDescent="0.3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  <c r="AB1014" s="18"/>
      <c r="AC1014" s="18"/>
    </row>
    <row r="1015" spans="1:29" ht="19.95" customHeight="1" x14ac:dyDescent="0.3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  <c r="AB1015" s="18"/>
      <c r="AC1015" s="18"/>
    </row>
    <row r="1016" spans="1:29" ht="19.95" customHeight="1" x14ac:dyDescent="0.3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  <c r="AB1016" s="18"/>
      <c r="AC1016" s="18"/>
    </row>
    <row r="1017" spans="1:29" ht="19.95" customHeight="1" x14ac:dyDescent="0.3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  <c r="AB1017" s="18"/>
      <c r="AC1017" s="18"/>
    </row>
    <row r="1018" spans="1:29" ht="19.95" customHeight="1" x14ac:dyDescent="0.3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  <c r="AB1018" s="18"/>
      <c r="AC1018" s="18"/>
    </row>
    <row r="1019" spans="1:29" ht="19.95" customHeight="1" x14ac:dyDescent="0.3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  <c r="AB1019" s="18"/>
      <c r="AC1019" s="18"/>
    </row>
    <row r="1020" spans="1:29" ht="19.95" customHeight="1" x14ac:dyDescent="0.3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  <c r="AB1020" s="18"/>
      <c r="AC1020" s="18"/>
    </row>
    <row r="1021" spans="1:29" ht="19.95" customHeight="1" x14ac:dyDescent="0.3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  <c r="AB1021" s="18"/>
      <c r="AC1021" s="18"/>
    </row>
  </sheetData>
  <mergeCells count="38">
    <mergeCell ref="A17:A96"/>
    <mergeCell ref="B17:C17"/>
    <mergeCell ref="B18:C18"/>
    <mergeCell ref="B19:C19"/>
    <mergeCell ref="B31:B41"/>
    <mergeCell ref="B42:B62"/>
    <mergeCell ref="B63:B72"/>
    <mergeCell ref="B73:B82"/>
    <mergeCell ref="B83:B92"/>
    <mergeCell ref="B93:B94"/>
    <mergeCell ref="B95:C96"/>
    <mergeCell ref="D95:E95"/>
    <mergeCell ref="D96:E96"/>
    <mergeCell ref="B8:C8"/>
    <mergeCell ref="E8:I8"/>
    <mergeCell ref="L8:N8"/>
    <mergeCell ref="B9:C9"/>
    <mergeCell ref="E9:I9"/>
    <mergeCell ref="L9:N9"/>
    <mergeCell ref="B10:C10"/>
    <mergeCell ref="E10:I10"/>
    <mergeCell ref="L10:N10"/>
    <mergeCell ref="B11:C11"/>
    <mergeCell ref="E11:I11"/>
    <mergeCell ref="B12:C12"/>
    <mergeCell ref="E12:I12"/>
    <mergeCell ref="A13:C13"/>
    <mergeCell ref="B1:E1"/>
    <mergeCell ref="B2:E2"/>
    <mergeCell ref="B3:E3"/>
    <mergeCell ref="B4:E4"/>
    <mergeCell ref="A6:I6"/>
    <mergeCell ref="L6:N6"/>
    <mergeCell ref="B7:C7"/>
    <mergeCell ref="E7:I7"/>
    <mergeCell ref="L7:N7"/>
    <mergeCell ref="B20:B30"/>
    <mergeCell ref="E13:I13"/>
  </mergeCells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21"/>
  <sheetViews>
    <sheetView zoomScale="70" zoomScaleNormal="70" workbookViewId="0">
      <selection activeCell="C20" sqref="C20:C63"/>
    </sheetView>
  </sheetViews>
  <sheetFormatPr defaultColWidth="14.44140625" defaultRowHeight="19.95" customHeight="1" x14ac:dyDescent="0.3"/>
  <cols>
    <col min="1" max="1" width="19.5546875" customWidth="1"/>
    <col min="2" max="2" width="20" customWidth="1"/>
    <col min="3" max="3" width="54.77734375" customWidth="1"/>
    <col min="4" max="4" width="23.6640625" customWidth="1"/>
    <col min="5" max="5" width="10.44140625" customWidth="1"/>
    <col min="6" max="6" width="7.44140625" customWidth="1"/>
    <col min="7" max="10" width="9" customWidth="1"/>
    <col min="11" max="11" width="9.109375" customWidth="1"/>
    <col min="12" max="12" width="10.77734375" customWidth="1"/>
    <col min="13" max="14" width="8.88671875" customWidth="1"/>
    <col min="15" max="15" width="9.109375" customWidth="1"/>
    <col min="16" max="16" width="10.77734375" customWidth="1"/>
    <col min="17" max="17" width="9.109375" customWidth="1"/>
    <col min="18" max="18" width="9.44140625" customWidth="1"/>
    <col min="19" max="19" width="10" customWidth="1"/>
    <col min="20" max="20" width="9.44140625" customWidth="1"/>
    <col min="21" max="21" width="11.5546875" customWidth="1"/>
    <col min="22" max="22" width="11.44140625" customWidth="1"/>
  </cols>
  <sheetData>
    <row r="1" spans="1:29" ht="19.95" customHeight="1" x14ac:dyDescent="0.3">
      <c r="A1" s="15" t="s">
        <v>3</v>
      </c>
      <c r="B1" s="63" t="s">
        <v>81</v>
      </c>
      <c r="C1" s="64"/>
      <c r="D1" s="64"/>
      <c r="E1" s="65"/>
      <c r="F1" s="16"/>
      <c r="G1" s="16"/>
      <c r="H1" s="17"/>
      <c r="I1" s="17"/>
      <c r="J1" s="17"/>
      <c r="K1" s="17"/>
      <c r="L1" s="17"/>
      <c r="M1" s="17"/>
      <c r="N1" s="17"/>
      <c r="O1" s="17"/>
      <c r="P1" s="1"/>
      <c r="Q1" s="1"/>
      <c r="R1" s="17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 ht="19.95" customHeight="1" x14ac:dyDescent="0.3">
      <c r="A2" s="15" t="s">
        <v>2</v>
      </c>
      <c r="B2" s="63" t="s">
        <v>15</v>
      </c>
      <c r="C2" s="64"/>
      <c r="D2" s="64"/>
      <c r="E2" s="65"/>
      <c r="F2" s="16"/>
      <c r="G2" s="16"/>
      <c r="H2" s="17"/>
      <c r="I2" s="17"/>
      <c r="J2" s="17"/>
      <c r="K2" s="17"/>
      <c r="L2" s="17"/>
      <c r="M2" s="17"/>
      <c r="N2" s="17"/>
      <c r="O2" s="17"/>
      <c r="P2" s="1"/>
      <c r="Q2" s="1"/>
      <c r="R2" s="1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</row>
    <row r="3" spans="1:29" ht="19.95" customHeight="1" x14ac:dyDescent="0.3">
      <c r="A3" s="15" t="s">
        <v>1</v>
      </c>
      <c r="B3" s="66">
        <v>46101</v>
      </c>
      <c r="C3" s="67"/>
      <c r="D3" s="67"/>
      <c r="E3" s="68"/>
      <c r="F3" s="19"/>
      <c r="G3" s="19"/>
      <c r="H3" s="17"/>
      <c r="I3" s="17"/>
      <c r="J3" s="17"/>
      <c r="K3" s="17"/>
      <c r="L3" s="17"/>
      <c r="M3" s="17"/>
      <c r="N3" s="17"/>
      <c r="O3" s="17"/>
      <c r="P3" s="1"/>
      <c r="Q3" s="1"/>
      <c r="R3" s="1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</row>
    <row r="4" spans="1:29" ht="19.95" customHeight="1" x14ac:dyDescent="0.3">
      <c r="A4" s="15" t="s">
        <v>0</v>
      </c>
      <c r="B4" s="66">
        <v>46116</v>
      </c>
      <c r="C4" s="67"/>
      <c r="D4" s="67"/>
      <c r="E4" s="68"/>
      <c r="F4" s="19"/>
      <c r="G4" s="19"/>
      <c r="H4" s="17"/>
      <c r="I4" s="17"/>
      <c r="J4" s="17"/>
      <c r="K4" s="17"/>
      <c r="L4" s="17"/>
      <c r="M4" s="17"/>
      <c r="N4" s="17"/>
      <c r="O4" s="17"/>
      <c r="P4" s="1"/>
      <c r="Q4" s="1"/>
      <c r="R4" s="1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</row>
    <row r="5" spans="1:29" ht="19.95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</row>
    <row r="6" spans="1:29" ht="19.95" customHeight="1" x14ac:dyDescent="0.3">
      <c r="A6" s="69" t="s">
        <v>24</v>
      </c>
      <c r="B6" s="70"/>
      <c r="C6" s="70"/>
      <c r="D6" s="70"/>
      <c r="E6" s="70"/>
      <c r="F6" s="70"/>
      <c r="G6" s="70"/>
      <c r="H6" s="70"/>
      <c r="I6" s="71"/>
      <c r="J6" s="1"/>
      <c r="K6" s="20"/>
      <c r="L6" s="81" t="s">
        <v>25</v>
      </c>
      <c r="M6" s="82"/>
      <c r="N6" s="82"/>
      <c r="O6" s="1"/>
      <c r="P6" s="1"/>
      <c r="Q6" s="1"/>
      <c r="R6" s="1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</row>
    <row r="7" spans="1:29" ht="19.95" customHeight="1" x14ac:dyDescent="0.3">
      <c r="A7" s="21" t="s">
        <v>26</v>
      </c>
      <c r="B7" s="83" t="s">
        <v>27</v>
      </c>
      <c r="C7" s="75"/>
      <c r="D7" s="22" t="s">
        <v>9</v>
      </c>
      <c r="E7" s="84" t="s">
        <v>18</v>
      </c>
      <c r="F7" s="70"/>
      <c r="G7" s="70"/>
      <c r="H7" s="70"/>
      <c r="I7" s="71"/>
      <c r="J7" s="1"/>
      <c r="K7" s="23"/>
      <c r="L7" s="81" t="s">
        <v>28</v>
      </c>
      <c r="M7" s="82"/>
      <c r="N7" s="82"/>
      <c r="O7" s="1"/>
      <c r="P7" s="1"/>
      <c r="Q7" s="1"/>
      <c r="R7" s="1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</row>
    <row r="8" spans="1:29" ht="19.95" customHeight="1" x14ac:dyDescent="0.3">
      <c r="A8" s="24">
        <v>1</v>
      </c>
      <c r="B8" s="87" t="s">
        <v>29</v>
      </c>
      <c r="C8" s="71"/>
      <c r="D8" s="25">
        <f xml:space="preserve"> SUMIF(D17:D94, "Hưng",E17:E94) + SUMIF(D17:D94, "All Team", E17:E94)/5 + SUMIF(D17:D94, "Khang, Hưng", E17:E94)/2+ SUMIF(D17:D94, "Khải, Hưng", E17:E94)/2</f>
        <v>0</v>
      </c>
      <c r="E8" s="88">
        <f xml:space="preserve"> SUMIF(D17:D94, "Hưng",F17:F94) + SUMIF(D17:D94, "All Team", F17:F94)/5+ SUMIF(D17:D94, "Hưng, Khải", F17:F94)/2</f>
        <v>42.8</v>
      </c>
      <c r="F8" s="76"/>
      <c r="G8" s="76"/>
      <c r="H8" s="76"/>
      <c r="I8" s="89"/>
      <c r="J8" s="1"/>
      <c r="K8" s="26"/>
      <c r="L8" s="81" t="s">
        <v>21</v>
      </c>
      <c r="M8" s="82"/>
      <c r="N8" s="82"/>
      <c r="O8" s="1"/>
      <c r="P8" s="1"/>
      <c r="Q8" s="1"/>
      <c r="R8" s="1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</row>
    <row r="9" spans="1:29" ht="19.95" customHeight="1" x14ac:dyDescent="0.3">
      <c r="A9" s="24">
        <v>2</v>
      </c>
      <c r="B9" s="61" t="s">
        <v>30</v>
      </c>
      <c r="C9" s="62"/>
      <c r="D9" s="25">
        <f xml:space="preserve"> SUMIF(D17:D94, "Khải",E17:E94) + SUMIF(D17:D94, "All Team", E17:E94)/5 + SUMIF(D17:D94, "Khải, Lĩnh", E17:E94)/2+ SUMIF(D17:D94, "Khải, Hưng", E17:E94)/2</f>
        <v>0</v>
      </c>
      <c r="E9" s="76">
        <f ca="1" xml:space="preserve"> SUMIF(D17:D94, "Khải",F17:F94) + SUMIF(D17:D94, "All Team", F17:F94)/5 + SUMIF(D17:D94, "Hưng, Khải", F17:F93)/2</f>
        <v>40.799999999999997</v>
      </c>
      <c r="F9" s="77"/>
      <c r="G9" s="77"/>
      <c r="H9" s="77"/>
      <c r="I9" s="78"/>
      <c r="J9" s="1"/>
      <c r="K9" s="17"/>
      <c r="L9" s="85"/>
      <c r="M9" s="86"/>
      <c r="N9" s="86"/>
      <c r="O9" s="1"/>
      <c r="P9" s="1"/>
      <c r="Q9" s="1"/>
      <c r="R9" s="1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</row>
    <row r="10" spans="1:29" ht="19.95" customHeight="1" x14ac:dyDescent="0.3">
      <c r="A10" s="24">
        <v>3</v>
      </c>
      <c r="B10" s="61" t="s">
        <v>31</v>
      </c>
      <c r="C10" s="62"/>
      <c r="D10" s="25">
        <f xml:space="preserve"> SUMIF(D17:D94, "Khang",E17:E94) + SUMIF(D17:D94, "All Team", E17:E94)/5 + SUMIF(D17:D94, "Khang, Vĩ", E17:E94)/2+ SUMIF(D17:D94, "Khang, Hưng", E17:E94)/2</f>
        <v>0</v>
      </c>
      <c r="E10" s="76">
        <f xml:space="preserve"> SUMIF(D17:D94, "Lĩnh",F17:F94) + SUMIF(D17:D94, "All Team", F17:F94)/5</f>
        <v>29.8</v>
      </c>
      <c r="F10" s="77"/>
      <c r="G10" s="77"/>
      <c r="H10" s="77"/>
      <c r="I10" s="78"/>
      <c r="J10" s="1"/>
      <c r="K10" s="17"/>
      <c r="L10" s="85"/>
      <c r="M10" s="86"/>
      <c r="N10" s="86"/>
      <c r="O10" s="1"/>
      <c r="P10" s="1"/>
      <c r="Q10" s="1"/>
      <c r="R10" s="1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</row>
    <row r="11" spans="1:29" ht="19.95" customHeight="1" x14ac:dyDescent="0.3">
      <c r="A11" s="24">
        <v>4</v>
      </c>
      <c r="B11" s="61" t="s">
        <v>82</v>
      </c>
      <c r="C11" s="62"/>
      <c r="D11" s="25">
        <f xml:space="preserve"> SUMIF(D17:D94, "Lĩnh",E17:E94) + SUMIF(D17:D94, "All Team", E17:E94)/5 + SUMIF(D17:D94, "Khải, Lĩnh", E17:E94)/2</f>
        <v>0</v>
      </c>
      <c r="E11" s="76">
        <f xml:space="preserve"> SUMIF(D17:D94, "Luyện",F17:F94) + SUMIF(D17:D94, "All Team", F17:F94)/5 + SUMIF(D17:D94, "Thúy, Luyện", F17:F95)/2</f>
        <v>35.799999999999997</v>
      </c>
      <c r="F11" s="77"/>
      <c r="G11" s="77"/>
      <c r="H11" s="77"/>
      <c r="I11" s="78"/>
      <c r="J11" s="1"/>
      <c r="K11" s="1"/>
      <c r="L11" s="1"/>
      <c r="M11" s="1"/>
      <c r="N11" s="1"/>
      <c r="O11" s="1"/>
      <c r="P11" s="1"/>
      <c r="Q11" s="1"/>
      <c r="R11" s="1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</row>
    <row r="12" spans="1:29" ht="19.95" customHeight="1" x14ac:dyDescent="0.3">
      <c r="A12" s="27">
        <v>5</v>
      </c>
      <c r="B12" s="74" t="s">
        <v>83</v>
      </c>
      <c r="C12" s="75"/>
      <c r="D12" s="25">
        <f xml:space="preserve"> SUMIF(D17:D94, "Vĩ",E17:E94) + SUMIF(D17:D94, "All Team", E17:E94)/5 + SUMIF(D17:D94, "Khang, Vĩ", E17:E94)/2</f>
        <v>0</v>
      </c>
      <c r="E12" s="76">
        <f xml:space="preserve"> SUMIF(D17:D94, "Thúy",F17:F94) + SUMIF(D17:D94, "All Team", F17:F94)/5 + SUMIF(D17:D94, "Thúy, Luyện", F17:F95)/2</f>
        <v>28.8</v>
      </c>
      <c r="F12" s="77"/>
      <c r="G12" s="77"/>
      <c r="H12" s="77"/>
      <c r="I12" s="78"/>
      <c r="J12" s="1"/>
      <c r="K12" s="1"/>
      <c r="L12" s="1"/>
      <c r="M12" s="1"/>
      <c r="N12" s="1"/>
      <c r="O12" s="1"/>
      <c r="P12" s="1"/>
      <c r="Q12" s="1"/>
      <c r="R12" s="1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</row>
    <row r="13" spans="1:29" ht="19.95" customHeight="1" x14ac:dyDescent="0.3">
      <c r="A13" s="79" t="s">
        <v>32</v>
      </c>
      <c r="B13" s="80"/>
      <c r="C13" s="62"/>
      <c r="D13" s="28">
        <f>SUM(D8:D12)</f>
        <v>0</v>
      </c>
      <c r="E13" s="90">
        <f ca="1">SUM(E8:I12)</f>
        <v>178</v>
      </c>
      <c r="F13" s="91"/>
      <c r="G13" s="91"/>
      <c r="H13" s="91"/>
      <c r="I13" s="92"/>
      <c r="J13" s="1"/>
      <c r="K13" s="1"/>
      <c r="L13" s="1"/>
      <c r="M13" s="1"/>
      <c r="N13" s="1"/>
      <c r="O13" s="1"/>
      <c r="P13" s="1"/>
      <c r="Q13" s="1"/>
      <c r="R13" s="1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</row>
    <row r="14" spans="1:29" ht="19.95" customHeight="1" x14ac:dyDescent="0.3">
      <c r="A14" s="1"/>
      <c r="B14" s="1"/>
      <c r="C14" s="1"/>
      <c r="D14" s="29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</row>
    <row r="15" spans="1:29" ht="19.9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</row>
    <row r="16" spans="1:29" ht="60" customHeight="1" x14ac:dyDescent="0.3">
      <c r="A16" s="30" t="s">
        <v>5</v>
      </c>
      <c r="B16" s="30" t="s">
        <v>6</v>
      </c>
      <c r="C16" s="30" t="s">
        <v>7</v>
      </c>
      <c r="D16" s="49" t="s">
        <v>8</v>
      </c>
      <c r="E16" s="31" t="s">
        <v>33</v>
      </c>
      <c r="F16" s="32" t="s">
        <v>34</v>
      </c>
      <c r="G16" s="33">
        <v>46101</v>
      </c>
      <c r="H16" s="33">
        <v>46102</v>
      </c>
      <c r="I16" s="33">
        <v>46103</v>
      </c>
      <c r="J16" s="33">
        <v>46104</v>
      </c>
      <c r="K16" s="33">
        <v>46105</v>
      </c>
      <c r="L16" s="33">
        <v>46106</v>
      </c>
      <c r="M16" s="33">
        <v>46107</v>
      </c>
      <c r="N16" s="33">
        <v>46108</v>
      </c>
      <c r="O16" s="33">
        <v>46109</v>
      </c>
      <c r="P16" s="33">
        <v>46110</v>
      </c>
      <c r="Q16" s="33">
        <v>46111</v>
      </c>
      <c r="R16" s="33">
        <v>46112</v>
      </c>
      <c r="S16" s="33">
        <v>46113</v>
      </c>
      <c r="T16" s="33">
        <v>46114</v>
      </c>
      <c r="U16" s="33">
        <v>46115</v>
      </c>
      <c r="V16" s="33">
        <v>46116</v>
      </c>
      <c r="W16" s="18"/>
      <c r="X16" s="18"/>
      <c r="Y16" s="18"/>
      <c r="Z16" s="18"/>
      <c r="AA16" s="18"/>
    </row>
    <row r="17" spans="1:22" ht="19.95" customHeight="1" x14ac:dyDescent="0.3">
      <c r="A17" s="93" t="s">
        <v>35</v>
      </c>
      <c r="B17" s="94" t="s">
        <v>36</v>
      </c>
      <c r="C17" s="95"/>
      <c r="D17" s="50" t="s">
        <v>17</v>
      </c>
      <c r="E17" s="52"/>
      <c r="F17" s="51">
        <v>10</v>
      </c>
      <c r="G17" s="56"/>
      <c r="H17" s="41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2"/>
      <c r="V17" s="2"/>
    </row>
    <row r="18" spans="1:22" ht="19.95" customHeight="1" x14ac:dyDescent="0.3">
      <c r="A18" s="93"/>
      <c r="B18" s="94" t="s">
        <v>37</v>
      </c>
      <c r="C18" s="95"/>
      <c r="D18" s="51" t="s">
        <v>22</v>
      </c>
      <c r="E18" s="52"/>
      <c r="F18" s="51">
        <v>4</v>
      </c>
      <c r="G18" s="39"/>
      <c r="H18" s="40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2"/>
      <c r="V18" s="2"/>
    </row>
    <row r="19" spans="1:22" ht="19.95" customHeight="1" x14ac:dyDescent="0.3">
      <c r="A19" s="93"/>
      <c r="B19" s="95" t="s">
        <v>38</v>
      </c>
      <c r="C19" s="96"/>
      <c r="D19" s="51" t="s">
        <v>23</v>
      </c>
      <c r="E19" s="53"/>
      <c r="F19" s="51">
        <v>4</v>
      </c>
      <c r="G19" s="39"/>
      <c r="H19" s="40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2"/>
      <c r="V19" s="2"/>
    </row>
    <row r="20" spans="1:22" ht="19.95" customHeight="1" x14ac:dyDescent="0.3">
      <c r="A20" s="93"/>
      <c r="B20" s="97" t="s">
        <v>39</v>
      </c>
      <c r="C20" s="47" t="s">
        <v>84</v>
      </c>
      <c r="D20" s="51" t="s">
        <v>43</v>
      </c>
      <c r="E20" s="54"/>
      <c r="F20" s="51">
        <v>2</v>
      </c>
      <c r="G20" s="48"/>
      <c r="H20" s="43"/>
      <c r="I20" s="40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2"/>
      <c r="V20" s="2"/>
    </row>
    <row r="21" spans="1:22" ht="19.95" customHeight="1" x14ac:dyDescent="0.3">
      <c r="A21" s="93"/>
      <c r="B21" s="97"/>
      <c r="C21" s="47" t="s">
        <v>85</v>
      </c>
      <c r="D21" s="51" t="s">
        <v>78</v>
      </c>
      <c r="E21" s="54"/>
      <c r="F21" s="51">
        <v>2</v>
      </c>
      <c r="G21" s="48"/>
      <c r="H21" s="43"/>
      <c r="I21" s="44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2"/>
      <c r="V21" s="2"/>
    </row>
    <row r="22" spans="1:22" ht="19.95" customHeight="1" x14ac:dyDescent="0.3">
      <c r="A22" s="93"/>
      <c r="B22" s="97"/>
      <c r="C22" s="47" t="s">
        <v>86</v>
      </c>
      <c r="D22" s="51" t="s">
        <v>40</v>
      </c>
      <c r="E22" s="54"/>
      <c r="F22" s="51">
        <v>1</v>
      </c>
      <c r="G22" s="48"/>
      <c r="H22" s="43"/>
      <c r="I22" s="40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2"/>
      <c r="V22" s="2"/>
    </row>
    <row r="23" spans="1:22" ht="19.95" customHeight="1" x14ac:dyDescent="0.3">
      <c r="A23" s="93"/>
      <c r="B23" s="97"/>
      <c r="C23" s="47" t="s">
        <v>87</v>
      </c>
      <c r="D23" s="50" t="s">
        <v>40</v>
      </c>
      <c r="E23" s="54"/>
      <c r="F23" s="14">
        <v>2</v>
      </c>
      <c r="G23" s="48"/>
      <c r="H23" s="43"/>
      <c r="I23" s="44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2"/>
      <c r="V23" s="2"/>
    </row>
    <row r="24" spans="1:22" ht="19.95" customHeight="1" x14ac:dyDescent="0.3">
      <c r="A24" s="93"/>
      <c r="B24" s="97"/>
      <c r="C24" s="47" t="s">
        <v>140</v>
      </c>
      <c r="D24" s="50" t="s">
        <v>22</v>
      </c>
      <c r="E24" s="54"/>
      <c r="F24" s="14">
        <v>3</v>
      </c>
      <c r="G24" s="48"/>
      <c r="H24" s="43"/>
      <c r="I24" s="40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2"/>
      <c r="V24" s="2"/>
    </row>
    <row r="25" spans="1:22" ht="19.95" customHeight="1" x14ac:dyDescent="0.3">
      <c r="A25" s="93"/>
      <c r="B25" s="97"/>
      <c r="C25" s="47" t="s">
        <v>141</v>
      </c>
      <c r="D25" s="50" t="s">
        <v>22</v>
      </c>
      <c r="E25" s="54"/>
      <c r="F25" s="14">
        <v>2</v>
      </c>
      <c r="G25" s="48"/>
      <c r="H25" s="43"/>
      <c r="I25" s="40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2"/>
      <c r="V25" s="2"/>
    </row>
    <row r="26" spans="1:22" ht="19.95" customHeight="1" x14ac:dyDescent="0.3">
      <c r="A26" s="93"/>
      <c r="B26" s="97"/>
      <c r="C26" s="47" t="s">
        <v>88</v>
      </c>
      <c r="D26" s="50" t="s">
        <v>78</v>
      </c>
      <c r="E26" s="54"/>
      <c r="F26" s="14">
        <v>3</v>
      </c>
      <c r="G26" s="48"/>
      <c r="H26" s="43"/>
      <c r="I26" s="43"/>
      <c r="J26" s="40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2"/>
      <c r="V26" s="3"/>
    </row>
    <row r="27" spans="1:22" ht="19.95" customHeight="1" x14ac:dyDescent="0.3">
      <c r="A27" s="93"/>
      <c r="B27" s="97"/>
      <c r="C27" s="47" t="s">
        <v>89</v>
      </c>
      <c r="D27" s="50" t="s">
        <v>79</v>
      </c>
      <c r="E27" s="54"/>
      <c r="F27" s="14">
        <v>2</v>
      </c>
      <c r="G27" s="48"/>
      <c r="H27" s="43"/>
      <c r="I27" s="43"/>
      <c r="J27" s="40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2"/>
      <c r="V27" s="3"/>
    </row>
    <row r="28" spans="1:22" ht="19.95" customHeight="1" x14ac:dyDescent="0.3">
      <c r="A28" s="93"/>
      <c r="B28" s="97"/>
      <c r="C28" s="47" t="s">
        <v>90</v>
      </c>
      <c r="D28" s="50" t="s">
        <v>43</v>
      </c>
      <c r="E28" s="54"/>
      <c r="F28" s="14">
        <v>2</v>
      </c>
      <c r="G28" s="48"/>
      <c r="H28" s="43"/>
      <c r="I28" s="43"/>
      <c r="J28" s="40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2"/>
      <c r="V28" s="3"/>
    </row>
    <row r="29" spans="1:22" ht="19.95" customHeight="1" x14ac:dyDescent="0.3">
      <c r="A29" s="93"/>
      <c r="B29" s="97"/>
      <c r="C29" s="47" t="s">
        <v>91</v>
      </c>
      <c r="D29" s="50" t="s">
        <v>79</v>
      </c>
      <c r="E29" s="54"/>
      <c r="F29" s="14">
        <v>1</v>
      </c>
      <c r="G29" s="48"/>
      <c r="H29" s="43"/>
      <c r="I29" s="43"/>
      <c r="J29" s="43"/>
      <c r="K29" s="40"/>
      <c r="L29" s="43"/>
      <c r="M29" s="43"/>
      <c r="N29" s="43"/>
      <c r="O29" s="43"/>
      <c r="P29" s="43"/>
      <c r="Q29" s="43"/>
      <c r="R29" s="43"/>
      <c r="S29" s="43"/>
      <c r="T29" s="43"/>
      <c r="U29" s="2"/>
      <c r="V29" s="3"/>
    </row>
    <row r="30" spans="1:22" ht="19.95" customHeight="1" x14ac:dyDescent="0.3">
      <c r="A30" s="93"/>
      <c r="B30" s="97"/>
      <c r="C30" s="35" t="s">
        <v>41</v>
      </c>
      <c r="D30" s="50" t="s">
        <v>17</v>
      </c>
      <c r="E30" s="54"/>
      <c r="F30" s="50">
        <v>10</v>
      </c>
      <c r="G30" s="48"/>
      <c r="H30" s="43"/>
      <c r="I30" s="43"/>
      <c r="J30" s="43"/>
      <c r="K30" s="45"/>
      <c r="L30" s="43"/>
      <c r="M30" s="43"/>
      <c r="N30" s="43"/>
      <c r="O30" s="43"/>
      <c r="P30" s="43"/>
      <c r="Q30" s="43"/>
      <c r="R30" s="43"/>
      <c r="S30" s="43"/>
      <c r="T30" s="43"/>
      <c r="U30" s="2"/>
      <c r="V30" s="3"/>
    </row>
    <row r="31" spans="1:22" ht="19.95" customHeight="1" x14ac:dyDescent="0.3">
      <c r="A31" s="93"/>
      <c r="B31" s="98" t="s">
        <v>42</v>
      </c>
      <c r="C31" s="47" t="s">
        <v>92</v>
      </c>
      <c r="D31" s="34" t="s">
        <v>78</v>
      </c>
      <c r="E31" s="54"/>
      <c r="F31" s="51">
        <v>2</v>
      </c>
      <c r="G31" s="48"/>
      <c r="H31" s="43"/>
      <c r="I31" s="40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2"/>
      <c r="V31" s="3"/>
    </row>
    <row r="32" spans="1:22" ht="19.95" customHeight="1" x14ac:dyDescent="0.3">
      <c r="A32" s="93"/>
      <c r="B32" s="97"/>
      <c r="C32" s="47" t="s">
        <v>93</v>
      </c>
      <c r="D32" s="34" t="s">
        <v>79</v>
      </c>
      <c r="E32" s="54"/>
      <c r="F32" s="51">
        <v>2</v>
      </c>
      <c r="G32" s="48"/>
      <c r="H32" s="43"/>
      <c r="I32" s="40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2"/>
      <c r="V32" s="3"/>
    </row>
    <row r="33" spans="1:22" ht="19.95" customHeight="1" x14ac:dyDescent="0.3">
      <c r="A33" s="93"/>
      <c r="B33" s="97"/>
      <c r="C33" s="47" t="s">
        <v>94</v>
      </c>
      <c r="D33" s="34" t="s">
        <v>40</v>
      </c>
      <c r="E33" s="54"/>
      <c r="F33" s="51">
        <v>1</v>
      </c>
      <c r="G33" s="48"/>
      <c r="H33" s="43"/>
      <c r="I33" s="40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2"/>
      <c r="V33" s="3"/>
    </row>
    <row r="34" spans="1:22" ht="19.95" customHeight="1" x14ac:dyDescent="0.3">
      <c r="A34" s="93"/>
      <c r="B34" s="97"/>
      <c r="C34" s="47" t="s">
        <v>95</v>
      </c>
      <c r="D34" s="34" t="s">
        <v>22</v>
      </c>
      <c r="E34" s="54"/>
      <c r="F34" s="51">
        <v>1</v>
      </c>
      <c r="G34" s="48"/>
      <c r="H34" s="43"/>
      <c r="I34" s="40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2"/>
      <c r="V34" s="3"/>
    </row>
    <row r="35" spans="1:22" ht="19.95" customHeight="1" x14ac:dyDescent="0.3">
      <c r="A35" s="93"/>
      <c r="B35" s="97"/>
      <c r="C35" s="47" t="s">
        <v>142</v>
      </c>
      <c r="D35" s="34" t="s">
        <v>78</v>
      </c>
      <c r="E35" s="54"/>
      <c r="F35" s="51">
        <v>3</v>
      </c>
      <c r="G35" s="48"/>
      <c r="H35" s="43"/>
      <c r="I35" s="43"/>
      <c r="J35" s="40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2"/>
      <c r="V35" s="3"/>
    </row>
    <row r="36" spans="1:22" ht="19.95" customHeight="1" x14ac:dyDescent="0.3">
      <c r="A36" s="93"/>
      <c r="B36" s="97"/>
      <c r="C36" s="47" t="s">
        <v>148</v>
      </c>
      <c r="D36" s="34" t="s">
        <v>22</v>
      </c>
      <c r="E36" s="54"/>
      <c r="F36" s="51">
        <v>2</v>
      </c>
      <c r="G36" s="48"/>
      <c r="H36" s="43"/>
      <c r="I36" s="43"/>
      <c r="J36" s="40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2"/>
      <c r="V36" s="3"/>
    </row>
    <row r="37" spans="1:22" ht="19.95" customHeight="1" x14ac:dyDescent="0.3">
      <c r="A37" s="93"/>
      <c r="B37" s="97"/>
      <c r="C37" s="47" t="s">
        <v>96</v>
      </c>
      <c r="D37" s="34" t="s">
        <v>78</v>
      </c>
      <c r="E37" s="54"/>
      <c r="F37" s="51">
        <v>3</v>
      </c>
      <c r="G37" s="48"/>
      <c r="H37" s="43"/>
      <c r="I37" s="43"/>
      <c r="J37" s="40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2"/>
      <c r="V37" s="3"/>
    </row>
    <row r="38" spans="1:22" ht="19.95" customHeight="1" x14ac:dyDescent="0.3">
      <c r="A38" s="93"/>
      <c r="B38" s="97"/>
      <c r="C38" s="47" t="s">
        <v>97</v>
      </c>
      <c r="D38" s="34" t="s">
        <v>79</v>
      </c>
      <c r="E38" s="54"/>
      <c r="F38" s="51">
        <v>2</v>
      </c>
      <c r="G38" s="48"/>
      <c r="H38" s="43"/>
      <c r="I38" s="43"/>
      <c r="J38" s="43"/>
      <c r="K38" s="40"/>
      <c r="L38" s="43"/>
      <c r="M38" s="43"/>
      <c r="N38" s="43"/>
      <c r="O38" s="43"/>
      <c r="P38" s="43"/>
      <c r="Q38" s="43"/>
      <c r="R38" s="43"/>
      <c r="S38" s="43"/>
      <c r="T38" s="43"/>
      <c r="U38" s="2"/>
      <c r="V38" s="3"/>
    </row>
    <row r="39" spans="1:22" ht="19.95" customHeight="1" x14ac:dyDescent="0.3">
      <c r="A39" s="93"/>
      <c r="B39" s="97"/>
      <c r="C39" s="47" t="s">
        <v>98</v>
      </c>
      <c r="D39" s="34" t="s">
        <v>78</v>
      </c>
      <c r="E39" s="54"/>
      <c r="F39" s="51">
        <v>2</v>
      </c>
      <c r="G39" s="48"/>
      <c r="H39" s="43"/>
      <c r="I39" s="43"/>
      <c r="J39" s="43"/>
      <c r="K39" s="40"/>
      <c r="L39" s="43"/>
      <c r="M39" s="43"/>
      <c r="N39" s="43"/>
      <c r="O39" s="43"/>
      <c r="P39" s="43"/>
      <c r="Q39" s="43"/>
      <c r="R39" s="43"/>
      <c r="S39" s="43"/>
      <c r="T39" s="43"/>
      <c r="U39" s="2"/>
      <c r="V39" s="3"/>
    </row>
    <row r="40" spans="1:22" ht="19.95" customHeight="1" x14ac:dyDescent="0.3">
      <c r="A40" s="93"/>
      <c r="B40" s="97"/>
      <c r="C40" s="47" t="s">
        <v>99</v>
      </c>
      <c r="D40" s="34" t="s">
        <v>22</v>
      </c>
      <c r="E40" s="54"/>
      <c r="F40" s="51">
        <v>2</v>
      </c>
      <c r="G40" s="48"/>
      <c r="H40" s="43"/>
      <c r="I40" s="43"/>
      <c r="J40" s="43"/>
      <c r="K40" s="40"/>
      <c r="L40" s="43"/>
      <c r="M40" s="43"/>
      <c r="N40" s="43"/>
      <c r="O40" s="43"/>
      <c r="P40" s="43"/>
      <c r="Q40" s="43"/>
      <c r="R40" s="43"/>
      <c r="S40" s="43"/>
      <c r="T40" s="43"/>
      <c r="U40" s="2"/>
      <c r="V40" s="3"/>
    </row>
    <row r="41" spans="1:22" ht="19.95" customHeight="1" x14ac:dyDescent="0.3">
      <c r="A41" s="93"/>
      <c r="B41" s="97"/>
      <c r="C41" s="35" t="s">
        <v>44</v>
      </c>
      <c r="D41" s="34" t="s">
        <v>17</v>
      </c>
      <c r="E41" s="54"/>
      <c r="F41" s="51">
        <v>10</v>
      </c>
      <c r="G41" s="48"/>
      <c r="H41" s="43"/>
      <c r="I41" s="43"/>
      <c r="J41" s="43"/>
      <c r="K41" s="40"/>
      <c r="L41" s="43"/>
      <c r="M41" s="43"/>
      <c r="N41" s="43"/>
      <c r="O41" s="43"/>
      <c r="P41" s="43"/>
      <c r="Q41" s="43"/>
      <c r="R41" s="43"/>
      <c r="S41" s="43"/>
      <c r="T41" s="43"/>
      <c r="U41" s="2"/>
      <c r="V41" s="3"/>
    </row>
    <row r="42" spans="1:22" ht="19.95" customHeight="1" x14ac:dyDescent="0.3">
      <c r="A42" s="93"/>
      <c r="B42" s="99" t="s">
        <v>11</v>
      </c>
      <c r="C42" s="47" t="s">
        <v>100</v>
      </c>
      <c r="D42" s="50" t="s">
        <v>43</v>
      </c>
      <c r="E42" s="54"/>
      <c r="F42" s="14">
        <v>3</v>
      </c>
      <c r="G42" s="48"/>
      <c r="H42" s="43"/>
      <c r="I42" s="43"/>
      <c r="J42" s="43"/>
      <c r="K42" s="43"/>
      <c r="L42" s="43"/>
      <c r="M42" s="40"/>
      <c r="N42" s="43"/>
      <c r="O42" s="43"/>
      <c r="P42" s="43"/>
      <c r="Q42" s="43"/>
      <c r="R42" s="43"/>
      <c r="S42" s="43"/>
      <c r="T42" s="43"/>
      <c r="U42" s="2"/>
      <c r="V42" s="3"/>
    </row>
    <row r="43" spans="1:22" ht="19.95" customHeight="1" x14ac:dyDescent="0.3">
      <c r="A43" s="93"/>
      <c r="B43" s="99"/>
      <c r="C43" s="47" t="s">
        <v>101</v>
      </c>
      <c r="D43" s="50" t="s">
        <v>40</v>
      </c>
      <c r="E43" s="54"/>
      <c r="F43" s="14">
        <v>2</v>
      </c>
      <c r="G43" s="48"/>
      <c r="H43" s="43"/>
      <c r="I43" s="43"/>
      <c r="J43" s="43"/>
      <c r="K43" s="43"/>
      <c r="L43" s="43"/>
      <c r="M43" s="40"/>
      <c r="N43" s="43"/>
      <c r="O43" s="43"/>
      <c r="P43" s="43"/>
      <c r="Q43" s="43"/>
      <c r="R43" s="43"/>
      <c r="S43" s="43"/>
      <c r="T43" s="43"/>
      <c r="U43" s="2"/>
      <c r="V43" s="3"/>
    </row>
    <row r="44" spans="1:22" ht="19.95" customHeight="1" x14ac:dyDescent="0.3">
      <c r="A44" s="93"/>
      <c r="B44" s="99"/>
      <c r="C44" s="47" t="s">
        <v>102</v>
      </c>
      <c r="D44" s="50" t="s">
        <v>43</v>
      </c>
      <c r="E44" s="54"/>
      <c r="F44" s="14">
        <v>1</v>
      </c>
      <c r="G44" s="48"/>
      <c r="H44" s="43"/>
      <c r="I44" s="43"/>
      <c r="J44" s="43"/>
      <c r="K44" s="43"/>
      <c r="L44" s="43"/>
      <c r="M44" s="40"/>
      <c r="N44" s="43"/>
      <c r="O44" s="43"/>
      <c r="P44" s="43"/>
      <c r="Q44" s="43"/>
      <c r="R44" s="43"/>
      <c r="S44" s="43"/>
      <c r="T44" s="43"/>
      <c r="U44" s="2"/>
      <c r="V44" s="3"/>
    </row>
    <row r="45" spans="1:22" ht="19.95" customHeight="1" x14ac:dyDescent="0.3">
      <c r="A45" s="93"/>
      <c r="B45" s="99"/>
      <c r="C45" s="47" t="s">
        <v>103</v>
      </c>
      <c r="D45" s="50" t="s">
        <v>40</v>
      </c>
      <c r="E45" s="54"/>
      <c r="F45" s="14">
        <v>2</v>
      </c>
      <c r="G45" s="48"/>
      <c r="H45" s="43"/>
      <c r="I45" s="43"/>
      <c r="J45" s="43"/>
      <c r="K45" s="43"/>
      <c r="L45" s="43"/>
      <c r="M45" s="40"/>
      <c r="N45" s="43"/>
      <c r="O45" s="43"/>
      <c r="P45" s="43"/>
      <c r="Q45" s="43"/>
      <c r="R45" s="43"/>
      <c r="S45" s="43"/>
      <c r="T45" s="43"/>
      <c r="U45" s="2"/>
      <c r="V45" s="3"/>
    </row>
    <row r="46" spans="1:22" ht="19.95" customHeight="1" x14ac:dyDescent="0.3">
      <c r="A46" s="93"/>
      <c r="B46" s="99"/>
      <c r="C46" s="47" t="s">
        <v>143</v>
      </c>
      <c r="D46" s="50" t="s">
        <v>43</v>
      </c>
      <c r="E46" s="54"/>
      <c r="F46" s="14">
        <v>3</v>
      </c>
      <c r="G46" s="48"/>
      <c r="H46" s="43"/>
      <c r="I46" s="43"/>
      <c r="J46" s="43"/>
      <c r="K46" s="43"/>
      <c r="L46" s="43"/>
      <c r="M46" s="43"/>
      <c r="N46" s="40"/>
      <c r="O46" s="43"/>
      <c r="P46" s="43"/>
      <c r="Q46" s="43"/>
      <c r="R46" s="43"/>
      <c r="S46" s="43"/>
      <c r="T46" s="43"/>
      <c r="U46" s="2"/>
      <c r="V46" s="3"/>
    </row>
    <row r="47" spans="1:22" ht="19.95" customHeight="1" x14ac:dyDescent="0.3">
      <c r="A47" s="93"/>
      <c r="B47" s="99"/>
      <c r="C47" s="47" t="s">
        <v>149</v>
      </c>
      <c r="D47" s="50" t="s">
        <v>40</v>
      </c>
      <c r="E47" s="54"/>
      <c r="F47" s="14">
        <v>2</v>
      </c>
      <c r="G47" s="48"/>
      <c r="H47" s="43"/>
      <c r="I47" s="43"/>
      <c r="J47" s="43"/>
      <c r="K47" s="43"/>
      <c r="L47" s="43"/>
      <c r="M47" s="43"/>
      <c r="N47" s="40"/>
      <c r="O47" s="43"/>
      <c r="P47" s="43"/>
      <c r="Q47" s="43"/>
      <c r="R47" s="43"/>
      <c r="S47" s="43"/>
      <c r="T47" s="43"/>
      <c r="U47" s="2"/>
      <c r="V47" s="3"/>
    </row>
    <row r="48" spans="1:22" ht="19.95" customHeight="1" x14ac:dyDescent="0.3">
      <c r="A48" s="93"/>
      <c r="B48" s="99"/>
      <c r="C48" s="47" t="s">
        <v>104</v>
      </c>
      <c r="D48" s="50" t="s">
        <v>43</v>
      </c>
      <c r="E48" s="54"/>
      <c r="F48" s="14">
        <v>3</v>
      </c>
      <c r="G48" s="48"/>
      <c r="H48" s="43"/>
      <c r="I48" s="43"/>
      <c r="J48" s="43"/>
      <c r="K48" s="43"/>
      <c r="L48" s="43"/>
      <c r="M48" s="43"/>
      <c r="N48" s="40"/>
      <c r="O48" s="43"/>
      <c r="P48" s="43"/>
      <c r="Q48" s="43"/>
      <c r="R48" s="43"/>
      <c r="S48" s="43"/>
      <c r="T48" s="43"/>
      <c r="U48" s="2"/>
      <c r="V48" s="3"/>
    </row>
    <row r="49" spans="1:22" ht="19.95" customHeight="1" x14ac:dyDescent="0.3">
      <c r="A49" s="93"/>
      <c r="B49" s="99"/>
      <c r="C49" s="47" t="s">
        <v>105</v>
      </c>
      <c r="D49" s="50" t="s">
        <v>40</v>
      </c>
      <c r="E49" s="54"/>
      <c r="F49" s="14">
        <v>3</v>
      </c>
      <c r="G49" s="48"/>
      <c r="H49" s="43"/>
      <c r="I49" s="43"/>
      <c r="J49" s="43"/>
      <c r="K49" s="43"/>
      <c r="L49" s="43"/>
      <c r="M49" s="43"/>
      <c r="N49" s="44"/>
      <c r="O49" s="43"/>
      <c r="P49" s="43"/>
      <c r="Q49" s="43"/>
      <c r="R49" s="43"/>
      <c r="S49" s="43"/>
      <c r="T49" s="43"/>
      <c r="U49" s="2"/>
      <c r="V49" s="3"/>
    </row>
    <row r="50" spans="1:22" ht="19.95" customHeight="1" x14ac:dyDescent="0.3">
      <c r="A50" s="93"/>
      <c r="B50" s="99"/>
      <c r="C50" s="47" t="s">
        <v>106</v>
      </c>
      <c r="D50" s="50" t="s">
        <v>43</v>
      </c>
      <c r="E50" s="54"/>
      <c r="F50" s="14">
        <v>3</v>
      </c>
      <c r="G50" s="48"/>
      <c r="H50" s="43"/>
      <c r="I50" s="43"/>
      <c r="J50" s="43"/>
      <c r="K50" s="43"/>
      <c r="L50" s="43"/>
      <c r="M50" s="43"/>
      <c r="N50" s="43"/>
      <c r="O50" s="40"/>
      <c r="P50" s="43"/>
      <c r="Q50" s="43"/>
      <c r="R50" s="43"/>
      <c r="S50" s="43"/>
      <c r="T50" s="43"/>
      <c r="U50" s="2"/>
      <c r="V50" s="3"/>
    </row>
    <row r="51" spans="1:22" ht="19.95" customHeight="1" x14ac:dyDescent="0.3">
      <c r="A51" s="93"/>
      <c r="B51" s="99"/>
      <c r="C51" s="47" t="s">
        <v>107</v>
      </c>
      <c r="D51" s="50" t="s">
        <v>40</v>
      </c>
      <c r="E51" s="54"/>
      <c r="F51" s="14">
        <v>2</v>
      </c>
      <c r="G51" s="48"/>
      <c r="H51" s="43"/>
      <c r="I51" s="43"/>
      <c r="J51" s="43"/>
      <c r="K51" s="43"/>
      <c r="L51" s="43"/>
      <c r="M51" s="43"/>
      <c r="N51" s="43"/>
      <c r="O51" s="40"/>
      <c r="P51" s="43"/>
      <c r="Q51" s="43"/>
      <c r="R51" s="43"/>
      <c r="S51" s="43"/>
      <c r="T51" s="43"/>
      <c r="U51" s="2"/>
      <c r="V51" s="3"/>
    </row>
    <row r="52" spans="1:22" ht="19.95" customHeight="1" x14ac:dyDescent="0.3">
      <c r="A52" s="93"/>
      <c r="B52" s="99"/>
      <c r="C52" s="47" t="s">
        <v>108</v>
      </c>
      <c r="D52" s="50" t="s">
        <v>43</v>
      </c>
      <c r="E52" s="54"/>
      <c r="F52" s="14">
        <v>2</v>
      </c>
      <c r="G52" s="48"/>
      <c r="H52" s="43"/>
      <c r="I52" s="43"/>
      <c r="J52" s="43"/>
      <c r="K52" s="43"/>
      <c r="L52" s="43"/>
      <c r="M52" s="43"/>
      <c r="N52" s="43"/>
      <c r="O52" s="40"/>
      <c r="P52" s="43"/>
      <c r="Q52" s="43"/>
      <c r="R52" s="43"/>
      <c r="S52" s="43"/>
      <c r="T52" s="43"/>
      <c r="U52" s="2"/>
      <c r="V52" s="3"/>
    </row>
    <row r="53" spans="1:22" ht="19.95" customHeight="1" x14ac:dyDescent="0.3">
      <c r="A53" s="93"/>
      <c r="B53" s="99"/>
      <c r="C53" s="47" t="s">
        <v>109</v>
      </c>
      <c r="D53" s="50" t="s">
        <v>40</v>
      </c>
      <c r="E53" s="54"/>
      <c r="F53" s="14">
        <v>3</v>
      </c>
      <c r="G53" s="48"/>
      <c r="H53" s="43"/>
      <c r="I53" s="43"/>
      <c r="J53" s="43"/>
      <c r="K53" s="43"/>
      <c r="L53" s="43"/>
      <c r="M53" s="43"/>
      <c r="N53" s="43"/>
      <c r="O53" s="44"/>
      <c r="P53" s="43"/>
      <c r="Q53" s="43"/>
      <c r="R53" s="43"/>
      <c r="S53" s="43"/>
      <c r="T53" s="43"/>
      <c r="U53" s="2"/>
      <c r="V53" s="3"/>
    </row>
    <row r="54" spans="1:22" ht="19.95" customHeight="1" x14ac:dyDescent="0.3">
      <c r="A54" s="93"/>
      <c r="B54" s="99"/>
      <c r="C54" s="47" t="s">
        <v>110</v>
      </c>
      <c r="D54" s="50" t="s">
        <v>43</v>
      </c>
      <c r="E54" s="54"/>
      <c r="F54" s="14">
        <v>1</v>
      </c>
      <c r="G54" s="48"/>
      <c r="H54" s="43"/>
      <c r="I54" s="43"/>
      <c r="J54" s="43"/>
      <c r="K54" s="43"/>
      <c r="L54" s="43"/>
      <c r="M54" s="43"/>
      <c r="N54" s="43"/>
      <c r="O54" s="40"/>
      <c r="P54" s="43"/>
      <c r="Q54" s="43"/>
      <c r="R54" s="43"/>
      <c r="S54" s="43"/>
      <c r="T54" s="43"/>
      <c r="U54" s="2"/>
      <c r="V54" s="3"/>
    </row>
    <row r="55" spans="1:22" ht="19.95" customHeight="1" x14ac:dyDescent="0.3">
      <c r="A55" s="93"/>
      <c r="B55" s="99"/>
      <c r="C55" s="47" t="s">
        <v>111</v>
      </c>
      <c r="D55" s="50" t="s">
        <v>40</v>
      </c>
      <c r="E55" s="54"/>
      <c r="F55" s="14">
        <v>2</v>
      </c>
      <c r="G55" s="48"/>
      <c r="H55" s="43"/>
      <c r="I55" s="43"/>
      <c r="J55" s="43"/>
      <c r="K55" s="43"/>
      <c r="L55" s="43"/>
      <c r="M55" s="40"/>
      <c r="N55" s="43"/>
      <c r="O55" s="43"/>
      <c r="P55" s="43"/>
      <c r="Q55" s="43"/>
      <c r="R55" s="43"/>
      <c r="S55" s="43"/>
      <c r="T55" s="43"/>
      <c r="U55" s="2"/>
      <c r="V55" s="3"/>
    </row>
    <row r="56" spans="1:22" ht="19.95" customHeight="1" x14ac:dyDescent="0.3">
      <c r="A56" s="93"/>
      <c r="B56" s="99"/>
      <c r="C56" s="47" t="s">
        <v>144</v>
      </c>
      <c r="D56" s="50" t="s">
        <v>43</v>
      </c>
      <c r="E56" s="54"/>
      <c r="F56" s="14">
        <v>3</v>
      </c>
      <c r="G56" s="48"/>
      <c r="H56" s="43"/>
      <c r="I56" s="43"/>
      <c r="J56" s="43"/>
      <c r="K56" s="43"/>
      <c r="L56" s="43"/>
      <c r="M56" s="40"/>
      <c r="N56" s="43"/>
      <c r="O56" s="43"/>
      <c r="P56" s="43"/>
      <c r="Q56" s="43"/>
      <c r="R56" s="43"/>
      <c r="S56" s="43"/>
      <c r="T56" s="43"/>
      <c r="U56" s="2"/>
      <c r="V56" s="3"/>
    </row>
    <row r="57" spans="1:22" ht="19.95" customHeight="1" x14ac:dyDescent="0.3">
      <c r="A57" s="93"/>
      <c r="B57" s="99"/>
      <c r="C57" s="47" t="s">
        <v>150</v>
      </c>
      <c r="D57" s="50" t="s">
        <v>40</v>
      </c>
      <c r="E57" s="54"/>
      <c r="F57" s="14">
        <v>2</v>
      </c>
      <c r="G57" s="48"/>
      <c r="H57" s="43"/>
      <c r="I57" s="43"/>
      <c r="J57" s="43"/>
      <c r="K57" s="43"/>
      <c r="L57" s="43"/>
      <c r="M57" s="40"/>
      <c r="N57" s="43"/>
      <c r="O57" s="43"/>
      <c r="P57" s="43"/>
      <c r="Q57" s="43"/>
      <c r="R57" s="43"/>
      <c r="S57" s="43"/>
      <c r="T57" s="43"/>
      <c r="U57" s="2"/>
      <c r="V57" s="3"/>
    </row>
    <row r="58" spans="1:22" ht="19.95" customHeight="1" x14ac:dyDescent="0.3">
      <c r="A58" s="93"/>
      <c r="B58" s="99"/>
      <c r="C58" s="47" t="s">
        <v>112</v>
      </c>
      <c r="D58" s="50" t="s">
        <v>43</v>
      </c>
      <c r="E58" s="54"/>
      <c r="F58" s="14">
        <v>3</v>
      </c>
      <c r="G58" s="48"/>
      <c r="H58" s="43"/>
      <c r="I58" s="43"/>
      <c r="J58" s="43"/>
      <c r="K58" s="43"/>
      <c r="L58" s="43"/>
      <c r="M58" s="40"/>
      <c r="N58" s="43"/>
      <c r="O58" s="43"/>
      <c r="P58" s="43"/>
      <c r="Q58" s="43"/>
      <c r="R58" s="43"/>
      <c r="S58" s="43"/>
      <c r="T58" s="43"/>
      <c r="U58" s="2"/>
      <c r="V58" s="3"/>
    </row>
    <row r="59" spans="1:22" ht="19.95" customHeight="1" x14ac:dyDescent="0.3">
      <c r="A59" s="93"/>
      <c r="B59" s="99"/>
      <c r="C59" s="47" t="s">
        <v>113</v>
      </c>
      <c r="D59" s="50" t="s">
        <v>40</v>
      </c>
      <c r="E59" s="54"/>
      <c r="F59" s="14">
        <v>3</v>
      </c>
      <c r="G59" s="48"/>
      <c r="H59" s="43"/>
      <c r="I59" s="43"/>
      <c r="J59" s="43"/>
      <c r="K59" s="43"/>
      <c r="L59" s="43"/>
      <c r="M59" s="43"/>
      <c r="N59" s="40"/>
      <c r="O59" s="43"/>
      <c r="P59" s="43"/>
      <c r="Q59" s="43"/>
      <c r="R59" s="43"/>
      <c r="S59" s="43"/>
      <c r="T59" s="43"/>
      <c r="U59" s="2"/>
      <c r="V59" s="3"/>
    </row>
    <row r="60" spans="1:22" ht="19.95" customHeight="1" x14ac:dyDescent="0.3">
      <c r="A60" s="93"/>
      <c r="B60" s="99"/>
      <c r="C60" s="47" t="s">
        <v>114</v>
      </c>
      <c r="D60" s="50" t="s">
        <v>43</v>
      </c>
      <c r="E60" s="54"/>
      <c r="F60" s="14">
        <v>3</v>
      </c>
      <c r="G60" s="48"/>
      <c r="H60" s="43"/>
      <c r="I60" s="43"/>
      <c r="J60" s="43"/>
      <c r="K60" s="43"/>
      <c r="L60" s="43"/>
      <c r="M60" s="43"/>
      <c r="N60" s="40"/>
      <c r="O60" s="43"/>
      <c r="P60" s="43"/>
      <c r="Q60" s="43"/>
      <c r="R60" s="43"/>
      <c r="S60" s="43"/>
      <c r="T60" s="43"/>
      <c r="U60" s="2"/>
      <c r="V60" s="3"/>
    </row>
    <row r="61" spans="1:22" ht="19.95" customHeight="1" x14ac:dyDescent="0.3">
      <c r="A61" s="93"/>
      <c r="B61" s="99"/>
      <c r="C61" s="47" t="s">
        <v>115</v>
      </c>
      <c r="D61" s="50" t="s">
        <v>40</v>
      </c>
      <c r="E61" s="54"/>
      <c r="F61" s="14">
        <v>2</v>
      </c>
      <c r="G61" s="48"/>
      <c r="H61" s="43"/>
      <c r="I61" s="43"/>
      <c r="J61" s="43"/>
      <c r="K61" s="43"/>
      <c r="L61" s="43"/>
      <c r="M61" s="43"/>
      <c r="N61" s="40"/>
      <c r="O61" s="43"/>
      <c r="P61" s="43"/>
      <c r="Q61" s="43"/>
      <c r="R61" s="43"/>
      <c r="S61" s="43"/>
      <c r="T61" s="43"/>
      <c r="U61" s="2"/>
      <c r="V61" s="3"/>
    </row>
    <row r="62" spans="1:22" ht="19.95" customHeight="1" x14ac:dyDescent="0.3">
      <c r="A62" s="93"/>
      <c r="B62" s="99"/>
      <c r="C62" s="35" t="s">
        <v>45</v>
      </c>
      <c r="D62" s="50" t="s">
        <v>17</v>
      </c>
      <c r="E62" s="54"/>
      <c r="F62" s="50">
        <v>4</v>
      </c>
      <c r="G62" s="48"/>
      <c r="H62" s="43"/>
      <c r="I62" s="43"/>
      <c r="J62" s="43"/>
      <c r="K62" s="43"/>
      <c r="L62" s="43"/>
      <c r="M62" s="43"/>
      <c r="N62" s="44"/>
      <c r="O62" s="43"/>
      <c r="P62" s="43"/>
      <c r="Q62" s="43"/>
      <c r="R62" s="43"/>
      <c r="S62" s="43"/>
      <c r="T62" s="43"/>
      <c r="U62" s="2"/>
      <c r="V62" s="3"/>
    </row>
    <row r="63" spans="1:22" ht="19.95" customHeight="1" x14ac:dyDescent="0.3">
      <c r="A63" s="93"/>
      <c r="B63" s="99" t="s">
        <v>12</v>
      </c>
      <c r="C63" s="47" t="s">
        <v>116</v>
      </c>
      <c r="D63" s="50" t="s">
        <v>78</v>
      </c>
      <c r="E63" s="54"/>
      <c r="F63" s="14">
        <v>1</v>
      </c>
      <c r="G63" s="48"/>
      <c r="H63" s="43"/>
      <c r="I63" s="43"/>
      <c r="J63" s="43"/>
      <c r="K63" s="43"/>
      <c r="L63" s="43"/>
      <c r="M63" s="43"/>
      <c r="N63" s="43"/>
      <c r="O63" s="43"/>
      <c r="P63" s="40"/>
      <c r="Q63" s="43"/>
      <c r="R63" s="43"/>
      <c r="S63" s="43"/>
      <c r="T63" s="43"/>
      <c r="U63" s="2"/>
      <c r="V63" s="3"/>
    </row>
    <row r="64" spans="1:22" ht="19.95" customHeight="1" x14ac:dyDescent="0.3">
      <c r="A64" s="93"/>
      <c r="B64" s="99"/>
      <c r="C64" s="47" t="s">
        <v>49</v>
      </c>
      <c r="D64" s="50" t="s">
        <v>79</v>
      </c>
      <c r="E64" s="54"/>
      <c r="F64" s="14">
        <v>1</v>
      </c>
      <c r="G64" s="48"/>
      <c r="H64" s="43"/>
      <c r="I64" s="43"/>
      <c r="J64" s="43"/>
      <c r="K64" s="43"/>
      <c r="L64" s="43"/>
      <c r="M64" s="43"/>
      <c r="N64" s="43"/>
      <c r="O64" s="43"/>
      <c r="P64" s="40"/>
      <c r="Q64" s="43"/>
      <c r="R64" s="43"/>
      <c r="S64" s="43"/>
      <c r="T64" s="43"/>
      <c r="U64" s="2"/>
      <c r="V64" s="3"/>
    </row>
    <row r="65" spans="1:22" ht="19.95" customHeight="1" x14ac:dyDescent="0.3">
      <c r="A65" s="93"/>
      <c r="B65" s="99"/>
      <c r="C65" s="47" t="s">
        <v>50</v>
      </c>
      <c r="D65" s="50" t="s">
        <v>78</v>
      </c>
      <c r="E65" s="54"/>
      <c r="F65" s="14">
        <v>0.5</v>
      </c>
      <c r="G65" s="48"/>
      <c r="H65" s="43"/>
      <c r="I65" s="43"/>
      <c r="J65" s="43"/>
      <c r="K65" s="43"/>
      <c r="L65" s="43"/>
      <c r="M65" s="43"/>
      <c r="N65" s="43"/>
      <c r="O65" s="43"/>
      <c r="P65" s="40"/>
      <c r="Q65" s="43"/>
      <c r="R65" s="43"/>
      <c r="S65" s="43"/>
      <c r="T65" s="43"/>
      <c r="U65" s="2"/>
      <c r="V65" s="3"/>
    </row>
    <row r="66" spans="1:22" ht="19.95" customHeight="1" x14ac:dyDescent="0.3">
      <c r="A66" s="93"/>
      <c r="B66" s="99"/>
      <c r="C66" s="47" t="s">
        <v>51</v>
      </c>
      <c r="D66" s="50" t="s">
        <v>78</v>
      </c>
      <c r="E66" s="54"/>
      <c r="F66" s="14">
        <v>0.5</v>
      </c>
      <c r="G66" s="48"/>
      <c r="H66" s="43"/>
      <c r="I66" s="43"/>
      <c r="J66" s="43"/>
      <c r="K66" s="43"/>
      <c r="L66" s="43"/>
      <c r="M66" s="43"/>
      <c r="N66" s="43"/>
      <c r="O66" s="43"/>
      <c r="P66" s="40"/>
      <c r="Q66" s="43"/>
      <c r="R66" s="43"/>
      <c r="S66" s="43"/>
      <c r="T66" s="43"/>
      <c r="U66" s="2"/>
      <c r="V66" s="3"/>
    </row>
    <row r="67" spans="1:22" ht="19.95" customHeight="1" x14ac:dyDescent="0.3">
      <c r="A67" s="93"/>
      <c r="B67" s="99"/>
      <c r="C67" s="47" t="s">
        <v>52</v>
      </c>
      <c r="D67" s="50" t="s">
        <v>79</v>
      </c>
      <c r="E67" s="54"/>
      <c r="F67" s="14">
        <v>1</v>
      </c>
      <c r="G67" s="48"/>
      <c r="H67" s="43"/>
      <c r="I67" s="43"/>
      <c r="J67" s="43"/>
      <c r="K67" s="43"/>
      <c r="L67" s="43"/>
      <c r="M67" s="43"/>
      <c r="N67" s="43"/>
      <c r="O67" s="43"/>
      <c r="P67" s="40"/>
      <c r="Q67" s="43"/>
      <c r="R67" s="43"/>
      <c r="S67" s="43"/>
      <c r="T67" s="43"/>
      <c r="U67" s="2"/>
      <c r="V67" s="3"/>
    </row>
    <row r="68" spans="1:22" ht="19.95" customHeight="1" x14ac:dyDescent="0.3">
      <c r="A68" s="93"/>
      <c r="B68" s="99"/>
      <c r="C68" s="47" t="s">
        <v>53</v>
      </c>
      <c r="D68" s="50" t="s">
        <v>79</v>
      </c>
      <c r="E68" s="54"/>
      <c r="F68" s="14">
        <v>1</v>
      </c>
      <c r="G68" s="48"/>
      <c r="H68" s="43"/>
      <c r="I68" s="43"/>
      <c r="J68" s="43"/>
      <c r="K68" s="43"/>
      <c r="L68" s="43"/>
      <c r="M68" s="43"/>
      <c r="N68" s="43"/>
      <c r="O68" s="43"/>
      <c r="P68" s="43"/>
      <c r="Q68" s="40"/>
      <c r="R68" s="43"/>
      <c r="S68" s="43"/>
      <c r="T68" s="43"/>
      <c r="U68" s="2"/>
      <c r="V68" s="3"/>
    </row>
    <row r="69" spans="1:22" ht="19.95" customHeight="1" x14ac:dyDescent="0.3">
      <c r="A69" s="93"/>
      <c r="B69" s="99"/>
      <c r="C69" s="47" t="s">
        <v>54</v>
      </c>
      <c r="D69" s="50" t="s">
        <v>22</v>
      </c>
      <c r="E69" s="54"/>
      <c r="F69" s="14">
        <v>2</v>
      </c>
      <c r="G69" s="48"/>
      <c r="H69" s="43"/>
      <c r="I69" s="43"/>
      <c r="J69" s="43"/>
      <c r="K69" s="43"/>
      <c r="L69" s="43"/>
      <c r="M69" s="43"/>
      <c r="N69" s="43"/>
      <c r="O69" s="43"/>
      <c r="P69" s="43"/>
      <c r="Q69" s="40"/>
      <c r="R69" s="43"/>
      <c r="S69" s="43"/>
      <c r="T69" s="43"/>
      <c r="U69" s="2"/>
      <c r="V69" s="3"/>
    </row>
    <row r="70" spans="1:22" ht="19.95" customHeight="1" x14ac:dyDescent="0.3">
      <c r="A70" s="93"/>
      <c r="B70" s="99"/>
      <c r="C70" s="47" t="s">
        <v>55</v>
      </c>
      <c r="D70" s="50" t="s">
        <v>79</v>
      </c>
      <c r="E70" s="54"/>
      <c r="F70" s="14">
        <v>1</v>
      </c>
      <c r="G70" s="48"/>
      <c r="H70" s="43"/>
      <c r="I70" s="43"/>
      <c r="J70" s="43"/>
      <c r="K70" s="43"/>
      <c r="L70" s="43"/>
      <c r="M70" s="43"/>
      <c r="N70" s="43"/>
      <c r="O70" s="43"/>
      <c r="P70" s="43"/>
      <c r="Q70" s="40"/>
      <c r="R70" s="43"/>
      <c r="S70" s="43"/>
      <c r="T70" s="43"/>
      <c r="U70" s="2"/>
      <c r="V70" s="3"/>
    </row>
    <row r="71" spans="1:22" ht="19.95" customHeight="1" x14ac:dyDescent="0.3">
      <c r="A71" s="93"/>
      <c r="B71" s="99"/>
      <c r="C71" s="47" t="s">
        <v>56</v>
      </c>
      <c r="D71" s="50" t="s">
        <v>78</v>
      </c>
      <c r="E71" s="54"/>
      <c r="F71" s="14">
        <v>1</v>
      </c>
      <c r="G71" s="48"/>
      <c r="H71" s="43"/>
      <c r="I71" s="43"/>
      <c r="J71" s="43"/>
      <c r="K71" s="43"/>
      <c r="L71" s="43"/>
      <c r="M71" s="43"/>
      <c r="N71" s="43"/>
      <c r="O71" s="43"/>
      <c r="P71" s="43"/>
      <c r="Q71" s="40"/>
      <c r="R71" s="43"/>
      <c r="S71" s="43"/>
      <c r="T71" s="43"/>
      <c r="U71" s="2"/>
      <c r="V71" s="3"/>
    </row>
    <row r="72" spans="1:22" ht="19.95" customHeight="1" x14ac:dyDescent="0.3">
      <c r="A72" s="93"/>
      <c r="B72" s="99"/>
      <c r="C72" s="47" t="s">
        <v>57</v>
      </c>
      <c r="D72" s="50" t="s">
        <v>22</v>
      </c>
      <c r="E72" s="54"/>
      <c r="F72" s="14">
        <v>1</v>
      </c>
      <c r="G72" s="48"/>
      <c r="H72" s="43"/>
      <c r="I72" s="43"/>
      <c r="J72" s="43"/>
      <c r="K72" s="43"/>
      <c r="L72" s="43"/>
      <c r="M72" s="43"/>
      <c r="N72" s="43"/>
      <c r="O72" s="43"/>
      <c r="P72" s="43"/>
      <c r="Q72" s="40"/>
      <c r="R72" s="43"/>
      <c r="S72" s="43"/>
      <c r="T72" s="43"/>
      <c r="U72" s="2"/>
      <c r="V72" s="3"/>
    </row>
    <row r="73" spans="1:22" ht="19.95" customHeight="1" x14ac:dyDescent="0.3">
      <c r="A73" s="93"/>
      <c r="B73" s="99" t="s">
        <v>46</v>
      </c>
      <c r="C73" s="47" t="s">
        <v>58</v>
      </c>
      <c r="D73" s="50" t="s">
        <v>80</v>
      </c>
      <c r="E73" s="54"/>
      <c r="F73" s="14">
        <v>1</v>
      </c>
      <c r="G73" s="48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0"/>
      <c r="S73" s="43"/>
      <c r="T73" s="43"/>
      <c r="U73" s="2"/>
      <c r="V73" s="3"/>
    </row>
    <row r="74" spans="1:22" ht="19.95" customHeight="1" x14ac:dyDescent="0.3">
      <c r="A74" s="93"/>
      <c r="B74" s="99"/>
      <c r="C74" s="47" t="s">
        <v>59</v>
      </c>
      <c r="D74" s="34" t="s">
        <v>80</v>
      </c>
      <c r="E74" s="54"/>
      <c r="F74" s="14">
        <v>1</v>
      </c>
      <c r="G74" s="48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0"/>
      <c r="S74" s="43"/>
      <c r="T74" s="43"/>
      <c r="U74" s="2"/>
      <c r="V74" s="3"/>
    </row>
    <row r="75" spans="1:22" ht="19.95" customHeight="1" x14ac:dyDescent="0.3">
      <c r="A75" s="93"/>
      <c r="B75" s="99"/>
      <c r="C75" s="47" t="s">
        <v>60</v>
      </c>
      <c r="D75" s="34" t="s">
        <v>80</v>
      </c>
      <c r="E75" s="54"/>
      <c r="F75" s="14">
        <v>0.5</v>
      </c>
      <c r="G75" s="48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0"/>
      <c r="S75" s="43"/>
      <c r="T75" s="43"/>
      <c r="U75" s="2"/>
      <c r="V75" s="3"/>
    </row>
    <row r="76" spans="1:22" ht="19.95" customHeight="1" x14ac:dyDescent="0.3">
      <c r="A76" s="93"/>
      <c r="B76" s="99"/>
      <c r="C76" s="47" t="s">
        <v>61</v>
      </c>
      <c r="D76" s="34" t="s">
        <v>80</v>
      </c>
      <c r="E76" s="54"/>
      <c r="F76" s="14">
        <v>0.5</v>
      </c>
      <c r="G76" s="48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0"/>
      <c r="S76" s="43"/>
      <c r="T76" s="43"/>
      <c r="U76" s="2"/>
      <c r="V76" s="3"/>
    </row>
    <row r="77" spans="1:22" ht="19.95" customHeight="1" x14ac:dyDescent="0.3">
      <c r="A77" s="93"/>
      <c r="B77" s="99"/>
      <c r="C77" s="47" t="s">
        <v>62</v>
      </c>
      <c r="D77" s="34" t="s">
        <v>80</v>
      </c>
      <c r="E77" s="54"/>
      <c r="F77" s="14">
        <v>1</v>
      </c>
      <c r="G77" s="48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0"/>
      <c r="S77" s="43"/>
      <c r="T77" s="43"/>
      <c r="U77" s="2"/>
      <c r="V77" s="3"/>
    </row>
    <row r="78" spans="1:22" ht="19.95" customHeight="1" x14ac:dyDescent="0.3">
      <c r="A78" s="93"/>
      <c r="B78" s="99"/>
      <c r="C78" s="47" t="s">
        <v>63</v>
      </c>
      <c r="D78" s="34" t="s">
        <v>80</v>
      </c>
      <c r="E78" s="54"/>
      <c r="F78" s="14">
        <v>1</v>
      </c>
      <c r="G78" s="48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0"/>
      <c r="S78" s="43"/>
      <c r="T78" s="43"/>
      <c r="U78" s="2"/>
      <c r="V78" s="3"/>
    </row>
    <row r="79" spans="1:22" ht="19.95" customHeight="1" x14ac:dyDescent="0.3">
      <c r="A79" s="93"/>
      <c r="B79" s="99"/>
      <c r="C79" s="47" t="s">
        <v>64</v>
      </c>
      <c r="D79" s="34" t="s">
        <v>80</v>
      </c>
      <c r="E79" s="54"/>
      <c r="F79" s="14">
        <v>2</v>
      </c>
      <c r="G79" s="48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0"/>
      <c r="S79" s="43"/>
      <c r="T79" s="43"/>
      <c r="U79" s="2"/>
      <c r="V79" s="3"/>
    </row>
    <row r="80" spans="1:22" ht="19.95" customHeight="1" x14ac:dyDescent="0.3">
      <c r="A80" s="93"/>
      <c r="B80" s="99"/>
      <c r="C80" s="47" t="s">
        <v>65</v>
      </c>
      <c r="D80" s="34" t="s">
        <v>80</v>
      </c>
      <c r="E80" s="54"/>
      <c r="F80" s="14">
        <v>1</v>
      </c>
      <c r="G80" s="48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0"/>
      <c r="S80" s="43"/>
      <c r="T80" s="43"/>
      <c r="U80" s="2"/>
      <c r="V80" s="3"/>
    </row>
    <row r="81" spans="1:22" ht="19.95" customHeight="1" x14ac:dyDescent="0.3">
      <c r="A81" s="93"/>
      <c r="B81" s="99"/>
      <c r="C81" s="47" t="s">
        <v>66</v>
      </c>
      <c r="D81" s="34" t="s">
        <v>80</v>
      </c>
      <c r="E81" s="54"/>
      <c r="F81" s="14">
        <v>1</v>
      </c>
      <c r="G81" s="48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0"/>
      <c r="S81" s="43"/>
      <c r="T81" s="43"/>
      <c r="U81" s="2"/>
      <c r="V81" s="3"/>
    </row>
    <row r="82" spans="1:22" ht="19.95" customHeight="1" x14ac:dyDescent="0.3">
      <c r="A82" s="93"/>
      <c r="B82" s="99"/>
      <c r="C82" s="47" t="s">
        <v>67</v>
      </c>
      <c r="D82" s="34" t="s">
        <v>80</v>
      </c>
      <c r="E82" s="54"/>
      <c r="F82" s="14">
        <v>1</v>
      </c>
      <c r="G82" s="48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0"/>
      <c r="S82" s="43"/>
      <c r="T82" s="43"/>
      <c r="U82" s="2"/>
      <c r="V82" s="3"/>
    </row>
    <row r="83" spans="1:22" ht="19.95" customHeight="1" x14ac:dyDescent="0.3">
      <c r="A83" s="93"/>
      <c r="B83" s="99" t="s">
        <v>16</v>
      </c>
      <c r="C83" s="47" t="s">
        <v>68</v>
      </c>
      <c r="D83" s="34" t="s">
        <v>78</v>
      </c>
      <c r="E83" s="54"/>
      <c r="F83" s="50">
        <v>1</v>
      </c>
      <c r="G83" s="57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0"/>
      <c r="T83" s="43"/>
      <c r="U83" s="2"/>
      <c r="V83" s="3"/>
    </row>
    <row r="84" spans="1:22" ht="19.95" customHeight="1" x14ac:dyDescent="0.3">
      <c r="A84" s="93"/>
      <c r="B84" s="99"/>
      <c r="C84" s="47" t="s">
        <v>69</v>
      </c>
      <c r="D84" s="34" t="s">
        <v>79</v>
      </c>
      <c r="E84" s="54"/>
      <c r="F84" s="50">
        <v>1</v>
      </c>
      <c r="G84" s="48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0"/>
      <c r="T84" s="43"/>
      <c r="U84" s="2"/>
      <c r="V84" s="3"/>
    </row>
    <row r="85" spans="1:22" ht="19.95" customHeight="1" x14ac:dyDescent="0.3">
      <c r="A85" s="93"/>
      <c r="B85" s="99"/>
      <c r="C85" s="47" t="s">
        <v>70</v>
      </c>
      <c r="D85" s="34" t="s">
        <v>78</v>
      </c>
      <c r="E85" s="54"/>
      <c r="F85" s="50">
        <v>2</v>
      </c>
      <c r="G85" s="48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0"/>
      <c r="T85" s="43"/>
      <c r="U85" s="2"/>
      <c r="V85" s="3"/>
    </row>
    <row r="86" spans="1:22" ht="19.95" customHeight="1" x14ac:dyDescent="0.3">
      <c r="A86" s="93"/>
      <c r="B86" s="99"/>
      <c r="C86" s="47" t="s">
        <v>71</v>
      </c>
      <c r="D86" s="34" t="s">
        <v>78</v>
      </c>
      <c r="E86" s="54"/>
      <c r="F86" s="50">
        <v>2</v>
      </c>
      <c r="G86" s="48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0"/>
      <c r="T86" s="43"/>
      <c r="U86" s="2"/>
      <c r="V86" s="3"/>
    </row>
    <row r="87" spans="1:22" ht="19.95" customHeight="1" x14ac:dyDescent="0.3">
      <c r="A87" s="93"/>
      <c r="B87" s="99"/>
      <c r="C87" s="47" t="s">
        <v>72</v>
      </c>
      <c r="D87" s="34" t="s">
        <v>79</v>
      </c>
      <c r="E87" s="54"/>
      <c r="F87" s="50">
        <v>2</v>
      </c>
      <c r="G87" s="48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0"/>
      <c r="T87" s="43"/>
      <c r="U87" s="2"/>
      <c r="V87" s="3"/>
    </row>
    <row r="88" spans="1:22" ht="19.95" customHeight="1" x14ac:dyDescent="0.3">
      <c r="A88" s="93"/>
      <c r="B88" s="99"/>
      <c r="C88" s="47" t="s">
        <v>73</v>
      </c>
      <c r="D88" s="34" t="s">
        <v>79</v>
      </c>
      <c r="E88" s="54"/>
      <c r="F88" s="50">
        <v>2</v>
      </c>
      <c r="G88" s="48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0"/>
      <c r="T88" s="43"/>
      <c r="U88" s="2"/>
      <c r="V88" s="3"/>
    </row>
    <row r="89" spans="1:22" ht="19.95" customHeight="1" x14ac:dyDescent="0.3">
      <c r="A89" s="93"/>
      <c r="B89" s="99"/>
      <c r="C89" s="47" t="s">
        <v>74</v>
      </c>
      <c r="D89" s="34" t="s">
        <v>22</v>
      </c>
      <c r="E89" s="54"/>
      <c r="F89" s="50">
        <v>2</v>
      </c>
      <c r="G89" s="48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0"/>
      <c r="T89" s="43"/>
      <c r="U89" s="2"/>
      <c r="V89" s="3"/>
    </row>
    <row r="90" spans="1:22" ht="19.95" customHeight="1" x14ac:dyDescent="0.3">
      <c r="A90" s="93"/>
      <c r="B90" s="99"/>
      <c r="C90" s="47" t="s">
        <v>75</v>
      </c>
      <c r="D90" s="34" t="s">
        <v>22</v>
      </c>
      <c r="E90" s="54"/>
      <c r="F90" s="50">
        <v>2</v>
      </c>
      <c r="G90" s="48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0"/>
      <c r="T90" s="43"/>
      <c r="U90" s="2"/>
      <c r="V90" s="3"/>
    </row>
    <row r="91" spans="1:22" ht="19.95" customHeight="1" x14ac:dyDescent="0.3">
      <c r="A91" s="93"/>
      <c r="B91" s="99"/>
      <c r="C91" s="47" t="s">
        <v>76</v>
      </c>
      <c r="D91" s="34" t="s">
        <v>78</v>
      </c>
      <c r="E91" s="54"/>
      <c r="F91" s="50">
        <v>2</v>
      </c>
      <c r="G91" s="48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0"/>
      <c r="T91" s="43"/>
      <c r="U91" s="2"/>
      <c r="V91" s="3"/>
    </row>
    <row r="92" spans="1:22" ht="19.95" customHeight="1" x14ac:dyDescent="0.3">
      <c r="A92" s="93"/>
      <c r="B92" s="99"/>
      <c r="C92" s="47" t="s">
        <v>77</v>
      </c>
      <c r="D92" s="34" t="s">
        <v>79</v>
      </c>
      <c r="E92" s="54"/>
      <c r="F92" s="50">
        <v>2</v>
      </c>
      <c r="G92" s="48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0"/>
      <c r="T92" s="43"/>
      <c r="U92" s="2"/>
      <c r="V92" s="3"/>
    </row>
    <row r="93" spans="1:22" ht="19.95" customHeight="1" x14ac:dyDescent="0.3">
      <c r="A93" s="93"/>
      <c r="B93" s="100" t="s">
        <v>13</v>
      </c>
      <c r="C93" s="17" t="s">
        <v>47</v>
      </c>
      <c r="D93" s="37" t="s">
        <v>17</v>
      </c>
      <c r="E93" s="55"/>
      <c r="F93" s="50">
        <v>5</v>
      </c>
      <c r="G93" s="48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0"/>
      <c r="U93" s="2"/>
      <c r="V93" s="3"/>
    </row>
    <row r="94" spans="1:22" ht="19.95" customHeight="1" x14ac:dyDescent="0.3">
      <c r="A94" s="93"/>
      <c r="B94" s="101"/>
      <c r="C94" s="38" t="s">
        <v>48</v>
      </c>
      <c r="D94" s="36" t="s">
        <v>17</v>
      </c>
      <c r="E94" s="55"/>
      <c r="F94" s="50">
        <v>5</v>
      </c>
      <c r="G94" s="48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0"/>
      <c r="U94" s="2"/>
      <c r="V94" s="3"/>
    </row>
    <row r="95" spans="1:22" ht="19.95" customHeight="1" x14ac:dyDescent="0.3">
      <c r="A95" s="93"/>
      <c r="B95" s="102" t="s">
        <v>10</v>
      </c>
      <c r="C95" s="102"/>
      <c r="D95" s="72" t="s">
        <v>9</v>
      </c>
      <c r="E95" s="73"/>
      <c r="F95" s="58">
        <f>SUM(E17:E94)</f>
        <v>0</v>
      </c>
      <c r="G95" s="15">
        <f>SUM(G17:G94)</f>
        <v>0</v>
      </c>
      <c r="H95" s="15">
        <f>SUM(H17:H94)</f>
        <v>0</v>
      </c>
      <c r="I95" s="15">
        <f>SUM(I17:I94)</f>
        <v>0</v>
      </c>
      <c r="J95" s="15">
        <f>SUM(J17:J94)</f>
        <v>0</v>
      </c>
      <c r="K95" s="15" t="e">
        <f>SUM(K17:K94) -K30-#REF!-K30-#REF!</f>
        <v>#REF!</v>
      </c>
      <c r="L95" s="15">
        <f>SUM(L17:L94)</f>
        <v>0</v>
      </c>
      <c r="M95" s="15">
        <f>SUM(M17:M94)</f>
        <v>0</v>
      </c>
      <c r="N95" s="15">
        <f>SUM(N17:N94)-N49-N62+N62+N49</f>
        <v>0</v>
      </c>
      <c r="O95" s="15">
        <f t="shared" ref="O95:T95" si="0">SUM(O17:O94)</f>
        <v>0</v>
      </c>
      <c r="P95" s="15">
        <f t="shared" si="0"/>
        <v>0</v>
      </c>
      <c r="Q95" s="15">
        <f t="shared" si="0"/>
        <v>0</v>
      </c>
      <c r="R95" s="15">
        <f t="shared" si="0"/>
        <v>0</v>
      </c>
      <c r="S95" s="15">
        <f t="shared" si="0"/>
        <v>0</v>
      </c>
      <c r="T95" s="15">
        <f t="shared" si="0"/>
        <v>0</v>
      </c>
      <c r="U95" s="2"/>
      <c r="V95" s="3"/>
    </row>
    <row r="96" spans="1:22" ht="19.95" customHeight="1" x14ac:dyDescent="0.3">
      <c r="A96" s="93"/>
      <c r="B96" s="102"/>
      <c r="C96" s="102"/>
      <c r="D96" s="72" t="s">
        <v>18</v>
      </c>
      <c r="E96" s="72"/>
      <c r="F96" s="15">
        <f>SUM(F17:F94)</f>
        <v>178</v>
      </c>
      <c r="G96" s="15">
        <f>SUM(G17:G94)</f>
        <v>0</v>
      </c>
      <c r="H96" s="15">
        <f>SUM(H17:H94)</f>
        <v>0</v>
      </c>
      <c r="I96" s="15">
        <f>SUM(I17:I94) -I21-I23</f>
        <v>0</v>
      </c>
      <c r="J96" s="15">
        <f>SUM(J17:J94)</f>
        <v>0</v>
      </c>
      <c r="K96" s="15" t="e">
        <f>SUM(K17:K94)-K30-#REF!</f>
        <v>#REF!</v>
      </c>
      <c r="L96" s="15">
        <f>SUM(L17:L94)</f>
        <v>0</v>
      </c>
      <c r="M96" s="15">
        <f>SUM(M17:M94)</f>
        <v>0</v>
      </c>
      <c r="N96" s="15">
        <f>SUM(N17:N94) -N49-N62</f>
        <v>0</v>
      </c>
      <c r="O96" s="15" t="e">
        <f>SUM(O17:O94)-#REF!-#REF!-O53-#REF!</f>
        <v>#REF!</v>
      </c>
      <c r="P96" s="15">
        <f t="shared" ref="P96:T96" si="1">SUM(P17:P94)</f>
        <v>0</v>
      </c>
      <c r="Q96" s="15">
        <f t="shared" si="1"/>
        <v>0</v>
      </c>
      <c r="R96" s="15">
        <f t="shared" si="1"/>
        <v>0</v>
      </c>
      <c r="S96" s="15">
        <f t="shared" si="1"/>
        <v>0</v>
      </c>
      <c r="T96" s="15">
        <f t="shared" si="1"/>
        <v>0</v>
      </c>
      <c r="U96" s="2"/>
      <c r="V96" s="3"/>
    </row>
    <row r="97" spans="1:22" ht="19.95" customHeight="1" x14ac:dyDescent="0.3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V97" s="1"/>
    </row>
    <row r="98" spans="1:22" ht="19.95" customHeight="1" x14ac:dyDescent="0.3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V98" s="1"/>
    </row>
    <row r="99" spans="1:22" ht="19.95" customHeight="1" x14ac:dyDescent="0.3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</row>
    <row r="100" spans="1:22" ht="19.95" customHeight="1" x14ac:dyDescent="0.3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</row>
    <row r="101" spans="1:22" ht="19.95" customHeight="1" x14ac:dyDescent="0.3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</row>
    <row r="102" spans="1:22" ht="19.95" customHeight="1" x14ac:dyDescent="0.3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</row>
    <row r="103" spans="1:22" ht="19.95" customHeight="1" x14ac:dyDescent="0.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</row>
    <row r="104" spans="1:22" ht="19.95" customHeight="1" x14ac:dyDescent="0.3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</row>
    <row r="105" spans="1:22" ht="19.95" customHeight="1" x14ac:dyDescent="0.3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</row>
    <row r="106" spans="1:22" ht="19.95" customHeight="1" x14ac:dyDescent="0.3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</row>
    <row r="107" spans="1:22" ht="19.95" customHeight="1" x14ac:dyDescent="0.3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</row>
    <row r="108" spans="1:22" ht="19.95" customHeight="1" x14ac:dyDescent="0.3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</row>
    <row r="109" spans="1:22" ht="19.95" customHeight="1" x14ac:dyDescent="0.3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</row>
    <row r="110" spans="1:22" ht="19.95" customHeight="1" x14ac:dyDescent="0.3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</row>
    <row r="111" spans="1:22" ht="19.95" customHeight="1" x14ac:dyDescent="0.3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</row>
    <row r="112" spans="1:22" ht="19.95" customHeight="1" x14ac:dyDescent="0.3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</row>
    <row r="113" spans="1:18" ht="19.95" customHeight="1" x14ac:dyDescent="0.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</row>
    <row r="114" spans="1:18" ht="19.95" customHeight="1" x14ac:dyDescent="0.3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</row>
    <row r="115" spans="1:18" ht="19.95" customHeight="1" x14ac:dyDescent="0.3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</row>
    <row r="116" spans="1:18" ht="19.95" customHeight="1" x14ac:dyDescent="0.3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</row>
    <row r="117" spans="1:18" ht="19.95" customHeight="1" x14ac:dyDescent="0.3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</row>
    <row r="118" spans="1:18" ht="19.95" customHeight="1" x14ac:dyDescent="0.3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</row>
    <row r="119" spans="1:18" ht="19.95" customHeight="1" x14ac:dyDescent="0.3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</row>
    <row r="120" spans="1:18" ht="19.95" customHeight="1" x14ac:dyDescent="0.3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</row>
    <row r="121" spans="1:18" ht="19.95" customHeight="1" x14ac:dyDescent="0.3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</row>
    <row r="122" spans="1:18" ht="19.95" customHeight="1" x14ac:dyDescent="0.3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</row>
    <row r="123" spans="1:18" ht="19.95" customHeight="1" x14ac:dyDescent="0.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</row>
    <row r="124" spans="1:18" ht="19.95" customHeight="1" x14ac:dyDescent="0.3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</row>
    <row r="125" spans="1:18" ht="19.95" customHeight="1" x14ac:dyDescent="0.3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</row>
    <row r="126" spans="1:18" ht="19.95" customHeight="1" x14ac:dyDescent="0.3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</row>
    <row r="127" spans="1:18" ht="19.95" customHeight="1" x14ac:dyDescent="0.3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</row>
    <row r="128" spans="1:18" ht="19.95" customHeight="1" x14ac:dyDescent="0.3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</row>
    <row r="129" spans="1:18" ht="19.95" customHeight="1" x14ac:dyDescent="0.3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</row>
    <row r="130" spans="1:18" ht="19.95" customHeight="1" x14ac:dyDescent="0.3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</row>
    <row r="131" spans="1:18" ht="19.95" customHeight="1" x14ac:dyDescent="0.3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</row>
    <row r="132" spans="1:18" ht="19.95" customHeight="1" x14ac:dyDescent="0.3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</row>
    <row r="133" spans="1:18" ht="19.95" customHeight="1" x14ac:dyDescent="0.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</row>
    <row r="134" spans="1:18" ht="19.95" customHeight="1" x14ac:dyDescent="0.3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</row>
    <row r="135" spans="1:18" ht="19.95" customHeight="1" x14ac:dyDescent="0.3">
      <c r="A135" s="1"/>
      <c r="B135" s="1"/>
      <c r="C135" s="1"/>
      <c r="D135" s="1"/>
      <c r="E135" s="1"/>
      <c r="F135" s="1"/>
      <c r="G135" s="1"/>
      <c r="H135" s="1"/>
      <c r="I135" s="17"/>
      <c r="J135" s="17"/>
      <c r="K135" s="17"/>
      <c r="L135" s="17"/>
      <c r="M135" s="17"/>
      <c r="N135" s="17"/>
      <c r="O135" s="17"/>
      <c r="P135" s="17"/>
      <c r="Q135" s="17"/>
      <c r="R135" s="17"/>
    </row>
    <row r="136" spans="1:18" ht="19.95" customHeight="1" x14ac:dyDescent="0.3">
      <c r="A136" s="1"/>
      <c r="B136" s="1"/>
      <c r="C136" s="1"/>
      <c r="D136" s="1"/>
      <c r="E136" s="1"/>
      <c r="F136" s="1"/>
      <c r="G136" s="1"/>
      <c r="H136" s="1"/>
      <c r="I136" s="17"/>
      <c r="J136" s="17"/>
      <c r="K136" s="17"/>
      <c r="L136" s="17"/>
      <c r="M136" s="17"/>
      <c r="N136" s="17"/>
      <c r="O136" s="17"/>
      <c r="P136" s="17"/>
      <c r="Q136" s="17"/>
      <c r="R136" s="17"/>
    </row>
    <row r="137" spans="1:18" ht="19.95" customHeight="1" x14ac:dyDescent="0.3">
      <c r="A137" s="1"/>
      <c r="B137" s="1"/>
      <c r="C137" s="1"/>
      <c r="D137" s="1"/>
      <c r="E137" s="1"/>
      <c r="F137" s="1"/>
      <c r="G137" s="1"/>
      <c r="H137" s="1"/>
      <c r="I137" s="17"/>
      <c r="J137" s="17"/>
      <c r="K137" s="17"/>
      <c r="L137" s="17"/>
      <c r="M137" s="17"/>
      <c r="N137" s="17"/>
      <c r="O137" s="17"/>
      <c r="P137" s="17"/>
      <c r="Q137" s="17"/>
      <c r="R137" s="17"/>
    </row>
    <row r="138" spans="1:18" ht="19.95" customHeight="1" x14ac:dyDescent="0.3">
      <c r="A138" s="1"/>
      <c r="B138" s="1"/>
      <c r="C138" s="1"/>
      <c r="D138" s="1"/>
      <c r="E138" s="1"/>
      <c r="F138" s="1"/>
      <c r="G138" s="1"/>
      <c r="H138" s="1"/>
      <c r="I138" s="17"/>
      <c r="J138" s="17"/>
      <c r="K138" s="17"/>
      <c r="L138" s="17"/>
      <c r="M138" s="17"/>
      <c r="N138" s="17"/>
      <c r="O138" s="17"/>
      <c r="P138" s="17"/>
      <c r="Q138" s="17"/>
      <c r="R138" s="17"/>
    </row>
    <row r="139" spans="1:18" ht="19.95" customHeight="1" x14ac:dyDescent="0.3">
      <c r="A139" s="1"/>
      <c r="B139" s="1"/>
      <c r="C139" s="1"/>
      <c r="D139" s="1"/>
      <c r="E139" s="1"/>
      <c r="F139" s="1"/>
      <c r="G139" s="1"/>
      <c r="H139" s="1"/>
      <c r="I139" s="17"/>
      <c r="J139" s="17"/>
      <c r="K139" s="17"/>
      <c r="L139" s="17"/>
      <c r="M139" s="17"/>
      <c r="N139" s="17"/>
      <c r="O139" s="17"/>
      <c r="P139" s="17"/>
      <c r="Q139" s="17"/>
      <c r="R139" s="17"/>
    </row>
    <row r="140" spans="1:18" ht="19.95" customHeight="1" x14ac:dyDescent="0.3">
      <c r="A140" s="1"/>
      <c r="B140" s="1"/>
      <c r="C140" s="1"/>
      <c r="D140" s="1"/>
      <c r="E140" s="1"/>
      <c r="F140" s="1"/>
      <c r="G140" s="1"/>
      <c r="H140" s="1"/>
      <c r="I140" s="17"/>
      <c r="J140" s="17"/>
      <c r="K140" s="17"/>
      <c r="L140" s="17"/>
      <c r="M140" s="17"/>
      <c r="N140" s="17"/>
      <c r="O140" s="17"/>
      <c r="P140" s="17"/>
      <c r="Q140" s="17"/>
      <c r="R140" s="17"/>
    </row>
    <row r="141" spans="1:18" ht="19.95" customHeight="1" x14ac:dyDescent="0.3">
      <c r="A141" s="1"/>
      <c r="B141" s="1"/>
      <c r="C141" s="1"/>
      <c r="D141" s="1"/>
      <c r="E141" s="1"/>
      <c r="F141" s="1"/>
      <c r="G141" s="1"/>
      <c r="H141" s="1"/>
      <c r="I141" s="17"/>
      <c r="J141" s="17"/>
      <c r="K141" s="17"/>
      <c r="L141" s="17"/>
      <c r="M141" s="17"/>
      <c r="N141" s="17"/>
      <c r="O141" s="17"/>
      <c r="P141" s="17"/>
      <c r="Q141" s="17"/>
      <c r="R141" s="17"/>
    </row>
    <row r="142" spans="1:18" ht="19.95" customHeight="1" x14ac:dyDescent="0.3">
      <c r="A142" s="1"/>
      <c r="B142" s="1"/>
      <c r="C142" s="1"/>
      <c r="D142" s="1"/>
      <c r="E142" s="1"/>
      <c r="F142" s="1"/>
      <c r="G142" s="1"/>
      <c r="H142" s="1"/>
      <c r="I142" s="17"/>
      <c r="J142" s="17"/>
      <c r="K142" s="17"/>
      <c r="L142" s="17"/>
      <c r="M142" s="17"/>
      <c r="N142" s="17"/>
      <c r="O142" s="17"/>
      <c r="P142" s="17"/>
      <c r="Q142" s="17"/>
      <c r="R142" s="17"/>
    </row>
    <row r="143" spans="1:18" ht="19.95" customHeight="1" x14ac:dyDescent="0.3">
      <c r="A143" s="1"/>
      <c r="B143" s="1"/>
      <c r="C143" s="1"/>
      <c r="D143" s="1"/>
      <c r="E143" s="1"/>
      <c r="F143" s="1"/>
      <c r="G143" s="1"/>
      <c r="H143" s="1"/>
      <c r="I143" s="17"/>
      <c r="J143" s="17"/>
      <c r="K143" s="17"/>
      <c r="L143" s="17"/>
      <c r="M143" s="17"/>
      <c r="N143" s="17"/>
      <c r="O143" s="17"/>
      <c r="P143" s="17"/>
      <c r="Q143" s="17"/>
      <c r="R143" s="17"/>
    </row>
    <row r="144" spans="1:18" ht="19.95" customHeight="1" x14ac:dyDescent="0.3">
      <c r="A144" s="1"/>
      <c r="B144" s="1"/>
      <c r="C144" s="1"/>
      <c r="D144" s="1"/>
      <c r="E144" s="1"/>
      <c r="F144" s="1"/>
      <c r="G144" s="1"/>
      <c r="H144" s="1"/>
      <c r="I144" s="17"/>
      <c r="J144" s="17"/>
      <c r="K144" s="17"/>
      <c r="L144" s="17"/>
      <c r="M144" s="17"/>
      <c r="N144" s="17"/>
      <c r="O144" s="17"/>
      <c r="P144" s="17"/>
      <c r="Q144" s="17"/>
      <c r="R144" s="17"/>
    </row>
    <row r="145" spans="1:18" ht="19.95" customHeight="1" x14ac:dyDescent="0.3">
      <c r="A145" s="1"/>
      <c r="B145" s="1"/>
      <c r="C145" s="1"/>
      <c r="D145" s="1"/>
      <c r="E145" s="1"/>
      <c r="F145" s="1"/>
      <c r="G145" s="1"/>
      <c r="H145" s="1"/>
      <c r="I145" s="17"/>
      <c r="J145" s="17"/>
      <c r="K145" s="17"/>
      <c r="L145" s="17"/>
      <c r="M145" s="17"/>
      <c r="N145" s="17"/>
      <c r="O145" s="17"/>
      <c r="P145" s="17"/>
      <c r="Q145" s="17"/>
      <c r="R145" s="17"/>
    </row>
    <row r="146" spans="1:18" ht="19.95" customHeight="1" x14ac:dyDescent="0.3">
      <c r="A146" s="1"/>
      <c r="B146" s="1"/>
      <c r="C146" s="1"/>
      <c r="D146" s="1"/>
      <c r="E146" s="1"/>
      <c r="F146" s="1"/>
      <c r="G146" s="1"/>
      <c r="H146" s="1"/>
      <c r="I146" s="17"/>
      <c r="J146" s="17"/>
      <c r="K146" s="17"/>
      <c r="L146" s="17"/>
      <c r="M146" s="17"/>
      <c r="N146" s="17"/>
      <c r="O146" s="17"/>
      <c r="P146" s="17"/>
      <c r="Q146" s="17"/>
      <c r="R146" s="17"/>
    </row>
    <row r="147" spans="1:18" ht="19.95" customHeight="1" x14ac:dyDescent="0.3">
      <c r="A147" s="1"/>
      <c r="B147" s="1"/>
      <c r="C147" s="1"/>
      <c r="D147" s="1"/>
      <c r="E147" s="1"/>
      <c r="F147" s="1"/>
      <c r="G147" s="1"/>
      <c r="H147" s="1"/>
      <c r="I147" s="17"/>
      <c r="J147" s="17"/>
      <c r="K147" s="17"/>
      <c r="L147" s="17"/>
      <c r="M147" s="17"/>
      <c r="N147" s="17"/>
      <c r="O147" s="17"/>
      <c r="P147" s="17"/>
      <c r="Q147" s="17"/>
      <c r="R147" s="17"/>
    </row>
    <row r="148" spans="1:18" ht="19.95" customHeight="1" x14ac:dyDescent="0.3">
      <c r="A148" s="1"/>
      <c r="B148" s="1"/>
      <c r="C148" s="1"/>
      <c r="D148" s="1"/>
      <c r="E148" s="1"/>
      <c r="F148" s="1"/>
      <c r="G148" s="1"/>
      <c r="H148" s="1"/>
      <c r="I148" s="17"/>
      <c r="J148" s="17"/>
      <c r="K148" s="17"/>
      <c r="L148" s="17"/>
      <c r="M148" s="17"/>
      <c r="N148" s="17"/>
      <c r="O148" s="17"/>
      <c r="P148" s="17"/>
      <c r="Q148" s="17"/>
      <c r="R148" s="17"/>
    </row>
    <row r="149" spans="1:18" ht="19.95" customHeight="1" x14ac:dyDescent="0.3">
      <c r="A149" s="1"/>
      <c r="B149" s="1"/>
      <c r="C149" s="1"/>
      <c r="D149" s="1"/>
      <c r="E149" s="1"/>
      <c r="F149" s="1"/>
      <c r="G149" s="1"/>
      <c r="H149" s="1"/>
      <c r="I149" s="17"/>
      <c r="J149" s="17"/>
      <c r="K149" s="17"/>
      <c r="L149" s="17"/>
      <c r="M149" s="17"/>
      <c r="N149" s="17"/>
      <c r="O149" s="17"/>
      <c r="P149" s="17"/>
      <c r="Q149" s="17"/>
      <c r="R149" s="17"/>
    </row>
    <row r="150" spans="1:18" ht="19.95" customHeight="1" x14ac:dyDescent="0.3">
      <c r="A150" s="1"/>
      <c r="B150" s="1"/>
      <c r="C150" s="1"/>
      <c r="D150" s="1"/>
      <c r="E150" s="1"/>
      <c r="F150" s="1"/>
      <c r="G150" s="1"/>
      <c r="H150" s="1"/>
      <c r="I150" s="17"/>
      <c r="J150" s="17"/>
      <c r="K150" s="17"/>
      <c r="L150" s="17"/>
      <c r="M150" s="17"/>
      <c r="N150" s="17"/>
      <c r="O150" s="17"/>
      <c r="P150" s="17"/>
      <c r="Q150" s="17"/>
      <c r="R150" s="17"/>
    </row>
    <row r="151" spans="1:18" ht="19.95" customHeight="1" x14ac:dyDescent="0.3">
      <c r="A151" s="1"/>
      <c r="B151" s="1"/>
      <c r="C151" s="1"/>
      <c r="D151" s="1"/>
      <c r="E151" s="1"/>
      <c r="F151" s="1"/>
      <c r="G151" s="1"/>
      <c r="H151" s="1"/>
      <c r="I151" s="17"/>
      <c r="J151" s="17"/>
      <c r="K151" s="17"/>
      <c r="L151" s="17"/>
      <c r="M151" s="17"/>
      <c r="N151" s="17"/>
      <c r="O151" s="17"/>
      <c r="P151" s="17"/>
      <c r="Q151" s="17"/>
      <c r="R151" s="17"/>
    </row>
    <row r="152" spans="1:18" ht="19.95" customHeight="1" x14ac:dyDescent="0.3">
      <c r="A152" s="1"/>
      <c r="B152" s="1"/>
      <c r="C152" s="1"/>
      <c r="D152" s="1"/>
      <c r="E152" s="1"/>
      <c r="F152" s="1"/>
      <c r="G152" s="1"/>
      <c r="H152" s="1"/>
      <c r="I152" s="17"/>
      <c r="J152" s="17"/>
      <c r="K152" s="17"/>
      <c r="L152" s="17"/>
      <c r="M152" s="17"/>
      <c r="N152" s="17"/>
      <c r="O152" s="17"/>
      <c r="P152" s="17"/>
      <c r="Q152" s="17"/>
      <c r="R152" s="17"/>
    </row>
    <row r="153" spans="1:18" ht="19.95" customHeight="1" x14ac:dyDescent="0.3">
      <c r="A153" s="1"/>
      <c r="B153" s="1"/>
      <c r="C153" s="1"/>
      <c r="D153" s="1"/>
      <c r="E153" s="1"/>
      <c r="F153" s="1"/>
      <c r="G153" s="1"/>
      <c r="H153" s="1"/>
      <c r="I153" s="17"/>
      <c r="J153" s="17"/>
      <c r="K153" s="17"/>
      <c r="L153" s="17"/>
      <c r="M153" s="17"/>
      <c r="N153" s="17"/>
      <c r="O153" s="17"/>
      <c r="P153" s="17"/>
      <c r="Q153" s="17"/>
      <c r="R153" s="17"/>
    </row>
    <row r="154" spans="1:18" ht="19.95" customHeight="1" x14ac:dyDescent="0.3">
      <c r="A154" s="1"/>
      <c r="B154" s="1"/>
      <c r="C154" s="1"/>
      <c r="D154" s="1"/>
      <c r="E154" s="1"/>
      <c r="F154" s="1"/>
      <c r="G154" s="1"/>
      <c r="H154" s="1"/>
      <c r="I154" s="17"/>
      <c r="J154" s="17"/>
      <c r="K154" s="17"/>
      <c r="L154" s="17"/>
      <c r="M154" s="17"/>
      <c r="N154" s="17"/>
      <c r="O154" s="17"/>
      <c r="P154" s="17"/>
      <c r="Q154" s="17"/>
      <c r="R154" s="17"/>
    </row>
    <row r="155" spans="1:18" ht="19.95" customHeight="1" x14ac:dyDescent="0.3">
      <c r="A155" s="1"/>
      <c r="B155" s="1"/>
      <c r="C155" s="1"/>
      <c r="D155" s="1"/>
      <c r="E155" s="1"/>
      <c r="F155" s="1"/>
      <c r="G155" s="1"/>
      <c r="H155" s="1"/>
      <c r="I155" s="17"/>
      <c r="J155" s="17"/>
      <c r="K155" s="17"/>
      <c r="L155" s="17"/>
      <c r="M155" s="17"/>
      <c r="N155" s="17"/>
      <c r="O155" s="17"/>
      <c r="P155" s="17"/>
      <c r="Q155" s="17"/>
      <c r="R155" s="17"/>
    </row>
    <row r="156" spans="1:18" ht="19.95" customHeight="1" x14ac:dyDescent="0.3">
      <c r="A156" s="1"/>
      <c r="B156" s="1"/>
      <c r="C156" s="1"/>
      <c r="D156" s="1"/>
      <c r="E156" s="1"/>
      <c r="F156" s="1"/>
      <c r="G156" s="1"/>
      <c r="H156" s="1"/>
      <c r="I156" s="17"/>
      <c r="J156" s="17"/>
      <c r="K156" s="17"/>
      <c r="L156" s="17"/>
      <c r="M156" s="17"/>
      <c r="N156" s="17"/>
      <c r="O156" s="17"/>
      <c r="P156" s="17"/>
      <c r="Q156" s="17"/>
      <c r="R156" s="17"/>
    </row>
    <row r="157" spans="1:18" ht="19.95" customHeight="1" x14ac:dyDescent="0.3">
      <c r="A157" s="1"/>
      <c r="B157" s="1"/>
      <c r="C157" s="1"/>
      <c r="D157" s="1"/>
      <c r="E157" s="1"/>
      <c r="F157" s="1"/>
      <c r="G157" s="1"/>
      <c r="H157" s="1"/>
      <c r="I157" s="17"/>
      <c r="J157" s="17"/>
      <c r="K157" s="17"/>
      <c r="L157" s="17"/>
      <c r="M157" s="17"/>
      <c r="N157" s="17"/>
      <c r="O157" s="17"/>
      <c r="P157" s="17"/>
      <c r="Q157" s="17"/>
      <c r="R157" s="17"/>
    </row>
    <row r="158" spans="1:18" ht="19.95" customHeight="1" x14ac:dyDescent="0.3">
      <c r="A158" s="1"/>
      <c r="B158" s="1"/>
      <c r="C158" s="1"/>
      <c r="D158" s="1"/>
      <c r="E158" s="1"/>
      <c r="F158" s="1"/>
      <c r="G158" s="1"/>
      <c r="H158" s="1"/>
      <c r="I158" s="17"/>
      <c r="J158" s="17"/>
      <c r="K158" s="17"/>
      <c r="L158" s="17"/>
      <c r="M158" s="17"/>
      <c r="N158" s="17"/>
      <c r="O158" s="17"/>
      <c r="P158" s="17"/>
      <c r="Q158" s="17"/>
      <c r="R158" s="17"/>
    </row>
    <row r="159" spans="1:18" ht="19.95" customHeight="1" x14ac:dyDescent="0.3">
      <c r="A159" s="1"/>
      <c r="B159" s="1"/>
      <c r="C159" s="1"/>
      <c r="D159" s="1"/>
      <c r="E159" s="1"/>
      <c r="F159" s="1"/>
      <c r="G159" s="1"/>
      <c r="H159" s="1"/>
      <c r="I159" s="17"/>
      <c r="J159" s="17"/>
      <c r="K159" s="17"/>
      <c r="L159" s="17"/>
      <c r="M159" s="17"/>
      <c r="N159" s="17"/>
      <c r="O159" s="17"/>
      <c r="P159" s="17"/>
      <c r="Q159" s="17"/>
      <c r="R159" s="17"/>
    </row>
    <row r="160" spans="1:18" ht="19.95" customHeight="1" x14ac:dyDescent="0.3">
      <c r="A160" s="1"/>
      <c r="B160" s="1"/>
      <c r="C160" s="1"/>
      <c r="D160" s="1"/>
      <c r="E160" s="1"/>
      <c r="F160" s="1"/>
      <c r="G160" s="1"/>
      <c r="H160" s="1"/>
      <c r="I160" s="17"/>
      <c r="J160" s="17"/>
      <c r="K160" s="17"/>
      <c r="L160" s="17"/>
      <c r="M160" s="17"/>
      <c r="N160" s="17"/>
      <c r="O160" s="17"/>
      <c r="P160" s="17"/>
      <c r="Q160" s="17"/>
      <c r="R160" s="17"/>
    </row>
    <row r="161" spans="1:29" ht="19.95" customHeight="1" x14ac:dyDescent="0.3">
      <c r="A161" s="1"/>
      <c r="B161" s="1"/>
      <c r="C161" s="1"/>
      <c r="D161" s="1"/>
      <c r="E161" s="1"/>
      <c r="F161" s="1"/>
      <c r="G161" s="1"/>
      <c r="H161" s="1"/>
      <c r="I161" s="17"/>
      <c r="J161" s="17"/>
      <c r="K161" s="17"/>
      <c r="L161" s="17"/>
      <c r="M161" s="17"/>
      <c r="N161" s="17"/>
      <c r="O161" s="17"/>
      <c r="P161" s="17"/>
      <c r="Q161" s="17"/>
      <c r="R161" s="17"/>
    </row>
    <row r="162" spans="1:29" ht="19.95" customHeight="1" x14ac:dyDescent="0.3">
      <c r="A162" s="1"/>
      <c r="B162" s="1"/>
      <c r="C162" s="1"/>
      <c r="D162" s="1"/>
      <c r="E162" s="1"/>
      <c r="F162" s="1"/>
      <c r="G162" s="1"/>
      <c r="H162" s="1"/>
      <c r="I162" s="17"/>
      <c r="J162" s="17"/>
      <c r="K162" s="17"/>
      <c r="L162" s="17"/>
      <c r="M162" s="17"/>
      <c r="N162" s="17"/>
      <c r="O162" s="17"/>
      <c r="P162" s="17"/>
      <c r="Q162" s="17"/>
      <c r="R162" s="17"/>
    </row>
    <row r="163" spans="1:29" ht="19.95" customHeight="1" x14ac:dyDescent="0.3">
      <c r="A163" s="1"/>
      <c r="B163" s="1"/>
      <c r="C163" s="1"/>
      <c r="D163" s="1"/>
      <c r="E163" s="1"/>
      <c r="F163" s="1"/>
      <c r="G163" s="1"/>
      <c r="H163" s="1"/>
      <c r="I163" s="17"/>
      <c r="J163" s="17"/>
      <c r="K163" s="17"/>
      <c r="L163" s="17"/>
      <c r="M163" s="17"/>
      <c r="N163" s="17"/>
      <c r="O163" s="17"/>
      <c r="P163" s="17"/>
      <c r="Q163" s="17"/>
      <c r="R163" s="17"/>
    </row>
    <row r="164" spans="1:29" ht="19.95" customHeight="1" x14ac:dyDescent="0.3">
      <c r="A164" s="1"/>
      <c r="B164" s="1"/>
      <c r="C164" s="1"/>
      <c r="D164" s="1"/>
      <c r="E164" s="1"/>
      <c r="F164" s="1"/>
      <c r="G164" s="1"/>
      <c r="H164" s="1"/>
      <c r="I164" s="17"/>
      <c r="J164" s="17"/>
      <c r="K164" s="17"/>
      <c r="L164" s="17"/>
      <c r="M164" s="17"/>
      <c r="N164" s="17"/>
      <c r="O164" s="17"/>
      <c r="P164" s="17"/>
      <c r="Q164" s="17"/>
      <c r="R164" s="17"/>
    </row>
    <row r="165" spans="1:29" ht="19.95" customHeight="1" x14ac:dyDescent="0.3">
      <c r="A165" s="1"/>
      <c r="B165" s="1"/>
      <c r="C165" s="1"/>
      <c r="D165" s="1"/>
      <c r="E165" s="1"/>
      <c r="F165" s="1"/>
      <c r="G165" s="1"/>
      <c r="H165" s="1"/>
      <c r="I165" s="17"/>
      <c r="J165" s="17"/>
      <c r="K165" s="17"/>
      <c r="L165" s="17"/>
      <c r="M165" s="17"/>
      <c r="N165" s="17"/>
      <c r="O165" s="17"/>
      <c r="P165" s="17"/>
      <c r="Q165" s="17"/>
      <c r="R165" s="17"/>
    </row>
    <row r="166" spans="1:29" ht="19.95" customHeight="1" x14ac:dyDescent="0.3">
      <c r="A166" s="1"/>
      <c r="B166" s="1"/>
      <c r="C166" s="1"/>
      <c r="D166" s="1"/>
      <c r="E166" s="1"/>
      <c r="F166" s="1"/>
      <c r="G166" s="1"/>
      <c r="H166" s="1"/>
      <c r="I166" s="17"/>
      <c r="J166" s="17"/>
      <c r="K166" s="17"/>
      <c r="L166" s="17"/>
      <c r="M166" s="17"/>
      <c r="N166" s="17"/>
      <c r="O166" s="17"/>
      <c r="P166" s="17"/>
      <c r="Q166" s="17"/>
      <c r="R166" s="17"/>
    </row>
    <row r="167" spans="1:29" ht="19.95" customHeight="1" x14ac:dyDescent="0.3">
      <c r="A167" s="1"/>
      <c r="B167" s="1"/>
      <c r="C167" s="1"/>
      <c r="D167" s="1"/>
      <c r="E167" s="1"/>
      <c r="F167" s="1"/>
      <c r="G167" s="1"/>
      <c r="H167" s="1"/>
      <c r="I167" s="17"/>
      <c r="J167" s="17"/>
      <c r="K167" s="17"/>
      <c r="L167" s="17"/>
      <c r="M167" s="17"/>
      <c r="N167" s="17"/>
      <c r="O167" s="17"/>
      <c r="P167" s="17"/>
      <c r="Q167" s="17"/>
      <c r="R167" s="17"/>
    </row>
    <row r="168" spans="1:29" ht="19.95" customHeight="1" x14ac:dyDescent="0.3">
      <c r="A168" s="1"/>
      <c r="B168" s="1"/>
      <c r="C168" s="1"/>
      <c r="D168" s="1"/>
      <c r="E168" s="1"/>
      <c r="F168" s="1"/>
      <c r="G168" s="1"/>
      <c r="H168" s="1"/>
      <c r="I168" s="17"/>
      <c r="J168" s="17"/>
      <c r="K168" s="17"/>
      <c r="L168" s="17"/>
      <c r="M168" s="17"/>
      <c r="N168" s="17"/>
      <c r="O168" s="17"/>
      <c r="P168" s="17"/>
      <c r="Q168" s="17"/>
      <c r="R168" s="17"/>
    </row>
    <row r="169" spans="1:29" ht="19.9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spans="1:29" ht="19.9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spans="1:29" ht="19.9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spans="1:29" ht="19.9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spans="1:29" ht="19.9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spans="1:29" ht="19.9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spans="1:29" ht="19.9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spans="1:29" ht="19.9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spans="1:29" ht="19.9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spans="1:29" ht="19.9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spans="1:29" ht="19.9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spans="1:29" ht="19.9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spans="1:29" ht="19.9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spans="1:29" ht="19.9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spans="1:29" ht="19.9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spans="1:29" ht="19.9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spans="1:29" ht="19.9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spans="1:29" ht="19.9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spans="1:29" ht="19.9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spans="1:29" ht="19.9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spans="1:29" ht="19.9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spans="1:29" ht="19.9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spans="1:29" ht="19.9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spans="1:29" ht="19.9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spans="1:29" ht="19.9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spans="1:29" ht="19.9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spans="1:29" ht="19.9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spans="1:29" ht="19.9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spans="1:29" ht="19.9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spans="1:29" ht="19.9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spans="1:29" ht="19.9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spans="1:29" ht="19.9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spans="1:29" ht="19.9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spans="1:29" ht="19.9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spans="1:29" ht="19.9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spans="1:29" ht="19.9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spans="1:29" ht="19.9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spans="1:29" ht="19.9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spans="1:29" ht="19.9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spans="1:29" ht="19.9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spans="1:29" ht="19.9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spans="1:29" ht="19.9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spans="1:29" ht="19.95" customHeight="1" x14ac:dyDescent="0.3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spans="1:29" ht="19.95" customHeight="1" x14ac:dyDescent="0.3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spans="1:29" ht="19.95" customHeight="1" x14ac:dyDescent="0.3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spans="1:29" ht="19.95" customHeight="1" x14ac:dyDescent="0.3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spans="1:29" ht="19.95" customHeight="1" x14ac:dyDescent="0.3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spans="1:29" ht="19.95" customHeight="1" x14ac:dyDescent="0.3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spans="1:29" ht="19.95" customHeight="1" x14ac:dyDescent="0.3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spans="1:29" ht="19.95" customHeight="1" x14ac:dyDescent="0.3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spans="1:29" ht="19.95" customHeight="1" x14ac:dyDescent="0.3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spans="1:29" ht="19.95" customHeight="1" x14ac:dyDescent="0.3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spans="1:29" ht="19.95" customHeight="1" x14ac:dyDescent="0.3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spans="1:29" ht="19.95" customHeight="1" x14ac:dyDescent="0.3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spans="1:29" ht="19.95" customHeight="1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spans="1:29" ht="19.95" customHeight="1" x14ac:dyDescent="0.3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spans="1:29" ht="19.95" customHeight="1" x14ac:dyDescent="0.3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spans="1:29" ht="19.95" customHeight="1" x14ac:dyDescent="0.3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spans="1:29" ht="19.95" customHeight="1" x14ac:dyDescent="0.3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spans="1:29" ht="19.95" customHeight="1" x14ac:dyDescent="0.3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spans="1:29" ht="19.95" customHeight="1" x14ac:dyDescent="0.3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spans="1:29" ht="19.95" customHeight="1" x14ac:dyDescent="0.3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spans="1:29" ht="19.95" customHeight="1" x14ac:dyDescent="0.3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spans="1:29" ht="19.95" customHeight="1" x14ac:dyDescent="0.3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spans="1:29" ht="19.95" customHeight="1" x14ac:dyDescent="0.3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spans="1:29" ht="19.95" customHeight="1" x14ac:dyDescent="0.3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spans="1:29" ht="19.95" customHeight="1" x14ac:dyDescent="0.3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spans="1:29" ht="19.95" customHeight="1" x14ac:dyDescent="0.3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spans="1:29" ht="19.95" customHeight="1" x14ac:dyDescent="0.3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spans="1:29" ht="19.95" customHeight="1" x14ac:dyDescent="0.3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spans="1:29" ht="19.95" customHeight="1" x14ac:dyDescent="0.3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spans="1:29" ht="19.95" customHeight="1" x14ac:dyDescent="0.3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spans="1:29" ht="19.95" customHeight="1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spans="1:29" ht="19.95" customHeight="1" x14ac:dyDescent="0.3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spans="1:29" ht="19.95" customHeight="1" x14ac:dyDescent="0.3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spans="1:29" ht="19.95" customHeight="1" x14ac:dyDescent="0.3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spans="1:29" ht="19.95" customHeight="1" x14ac:dyDescent="0.3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spans="1:29" ht="19.95" customHeight="1" x14ac:dyDescent="0.3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spans="1:29" ht="19.95" customHeight="1" x14ac:dyDescent="0.3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spans="1:29" ht="19.95" customHeight="1" x14ac:dyDescent="0.3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spans="1:29" ht="19.95" customHeight="1" x14ac:dyDescent="0.3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spans="1:29" ht="19.95" customHeight="1" x14ac:dyDescent="0.3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spans="1:29" ht="19.95" customHeight="1" x14ac:dyDescent="0.3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spans="1:29" ht="19.95" customHeight="1" x14ac:dyDescent="0.3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spans="1:29" ht="19.95" customHeight="1" x14ac:dyDescent="0.3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spans="1:29" ht="19.95" customHeight="1" x14ac:dyDescent="0.3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spans="1:29" ht="19.95" customHeight="1" x14ac:dyDescent="0.3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spans="1:29" ht="19.95" customHeight="1" x14ac:dyDescent="0.3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spans="1:29" ht="19.95" customHeight="1" x14ac:dyDescent="0.3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spans="1:29" ht="19.95" customHeight="1" x14ac:dyDescent="0.3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spans="1:29" ht="19.95" customHeight="1" x14ac:dyDescent="0.3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spans="1:29" ht="19.95" customHeight="1" x14ac:dyDescent="0.3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spans="1:29" ht="19.95" customHeight="1" x14ac:dyDescent="0.3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spans="1:29" ht="19.95" customHeight="1" x14ac:dyDescent="0.3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spans="1:29" ht="19.95" customHeight="1" x14ac:dyDescent="0.3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spans="1:29" ht="19.95" customHeight="1" x14ac:dyDescent="0.3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spans="1:29" ht="19.95" customHeight="1" x14ac:dyDescent="0.3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spans="1:29" ht="19.95" customHeight="1" x14ac:dyDescent="0.3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spans="1:29" ht="19.95" customHeight="1" x14ac:dyDescent="0.3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spans="1:29" ht="19.95" customHeight="1" x14ac:dyDescent="0.3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spans="1:29" ht="19.95" customHeight="1" x14ac:dyDescent="0.3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spans="1:29" ht="19.95" customHeight="1" x14ac:dyDescent="0.3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spans="1:29" ht="19.95" customHeight="1" x14ac:dyDescent="0.3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spans="1:29" ht="19.95" customHeight="1" x14ac:dyDescent="0.3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spans="1:29" ht="19.95" customHeight="1" x14ac:dyDescent="0.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spans="1:29" ht="19.95" customHeight="1" x14ac:dyDescent="0.3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spans="1:29" ht="19.95" customHeight="1" x14ac:dyDescent="0.3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spans="1:29" ht="19.95" customHeight="1" x14ac:dyDescent="0.3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spans="1:29" ht="19.95" customHeight="1" x14ac:dyDescent="0.3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spans="1:29" ht="19.95" customHeight="1" x14ac:dyDescent="0.3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spans="1:29" ht="19.95" customHeight="1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spans="1:29" ht="19.95" customHeight="1" x14ac:dyDescent="0.3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spans="1:29" ht="19.95" customHeight="1" x14ac:dyDescent="0.3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spans="1:29" ht="19.95" customHeight="1" x14ac:dyDescent="0.3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spans="1:29" ht="19.95" customHeight="1" x14ac:dyDescent="0.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spans="1:29" ht="19.95" customHeight="1" x14ac:dyDescent="0.3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spans="1:29" ht="19.95" customHeight="1" x14ac:dyDescent="0.3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spans="1:29" ht="19.95" customHeight="1" x14ac:dyDescent="0.3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spans="1:29" ht="19.95" customHeight="1" x14ac:dyDescent="0.3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spans="1:29" ht="19.95" customHeight="1" x14ac:dyDescent="0.3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spans="1:29" ht="19.95" customHeight="1" x14ac:dyDescent="0.3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spans="1:29" ht="19.95" customHeight="1" x14ac:dyDescent="0.3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spans="1:29" ht="19.95" customHeight="1" x14ac:dyDescent="0.3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spans="1:29" ht="19.95" customHeight="1" x14ac:dyDescent="0.3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spans="1:29" ht="19.95" customHeight="1" x14ac:dyDescent="0.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spans="1:29" ht="19.95" customHeight="1" x14ac:dyDescent="0.3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spans="1:29" ht="19.95" customHeight="1" x14ac:dyDescent="0.3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spans="1:29" ht="19.95" customHeight="1" x14ac:dyDescent="0.3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spans="1:29" ht="19.95" customHeight="1" x14ac:dyDescent="0.3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spans="1:29" ht="19.95" customHeight="1" x14ac:dyDescent="0.3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spans="1:29" ht="19.95" customHeight="1" x14ac:dyDescent="0.3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spans="1:29" ht="19.95" customHeight="1" x14ac:dyDescent="0.3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spans="1:29" ht="19.95" customHeight="1" x14ac:dyDescent="0.3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spans="1:29" ht="19.95" customHeight="1" x14ac:dyDescent="0.3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spans="1:29" ht="19.95" customHeight="1" x14ac:dyDescent="0.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spans="1:29" ht="19.95" customHeight="1" x14ac:dyDescent="0.3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spans="1:29" ht="19.95" customHeight="1" x14ac:dyDescent="0.3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spans="1:29" ht="19.95" customHeight="1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spans="1:29" ht="19.95" customHeight="1" x14ac:dyDescent="0.3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spans="1:29" ht="19.95" customHeight="1" x14ac:dyDescent="0.3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spans="1:29" ht="19.95" customHeight="1" x14ac:dyDescent="0.3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spans="1:29" ht="19.95" customHeight="1" x14ac:dyDescent="0.3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spans="1:29" ht="19.95" customHeight="1" x14ac:dyDescent="0.3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spans="1:29" ht="19.95" customHeight="1" x14ac:dyDescent="0.3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spans="1:29" ht="19.95" customHeight="1" x14ac:dyDescent="0.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spans="1:29" ht="19.95" customHeight="1" x14ac:dyDescent="0.3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spans="1:29" ht="19.95" customHeight="1" x14ac:dyDescent="0.3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spans="1:29" ht="19.95" customHeight="1" x14ac:dyDescent="0.3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spans="1:29" ht="19.95" customHeight="1" x14ac:dyDescent="0.3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spans="1:29" ht="19.95" customHeight="1" x14ac:dyDescent="0.3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spans="1:29" ht="19.95" customHeight="1" x14ac:dyDescent="0.3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spans="1:29" ht="19.95" customHeight="1" x14ac:dyDescent="0.3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spans="1:29" ht="19.95" customHeight="1" x14ac:dyDescent="0.3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spans="1:29" ht="19.95" customHeight="1" x14ac:dyDescent="0.3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spans="1:29" ht="19.95" customHeight="1" x14ac:dyDescent="0.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spans="1:29" ht="19.95" customHeight="1" x14ac:dyDescent="0.3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spans="1:29" ht="19.95" customHeight="1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spans="1:29" ht="19.95" customHeight="1" x14ac:dyDescent="0.3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spans="1:29" ht="19.95" customHeight="1" x14ac:dyDescent="0.3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spans="1:29" ht="19.95" customHeight="1" x14ac:dyDescent="0.3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spans="1:29" ht="19.95" customHeight="1" x14ac:dyDescent="0.3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spans="1:29" ht="19.95" customHeight="1" x14ac:dyDescent="0.3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spans="1:29" ht="19.95" customHeight="1" x14ac:dyDescent="0.3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spans="1:29" ht="19.95" customHeight="1" x14ac:dyDescent="0.3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spans="1:29" ht="19.95" customHeight="1" x14ac:dyDescent="0.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spans="1:29" ht="19.95" customHeight="1" x14ac:dyDescent="0.3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spans="1:29" ht="19.95" customHeight="1" x14ac:dyDescent="0.3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spans="1:29" ht="19.95" customHeight="1" x14ac:dyDescent="0.3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spans="1:29" ht="19.95" customHeight="1" x14ac:dyDescent="0.3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spans="1:29" ht="19.95" customHeight="1" x14ac:dyDescent="0.3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spans="1:29" ht="19.95" customHeight="1" x14ac:dyDescent="0.3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spans="1:29" ht="19.95" customHeight="1" x14ac:dyDescent="0.3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spans="1:29" ht="19.95" customHeight="1" x14ac:dyDescent="0.3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spans="1:29" ht="19.95" customHeight="1" x14ac:dyDescent="0.3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spans="1:29" ht="19.95" customHeight="1" x14ac:dyDescent="0.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spans="1:29" ht="19.95" customHeight="1" x14ac:dyDescent="0.3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spans="1:29" ht="19.95" customHeight="1" x14ac:dyDescent="0.3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spans="1:29" ht="19.95" customHeight="1" x14ac:dyDescent="0.3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spans="1:29" ht="19.95" customHeight="1" x14ac:dyDescent="0.3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spans="1:29" ht="19.95" customHeight="1" x14ac:dyDescent="0.3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spans="1:29" ht="19.95" customHeight="1" x14ac:dyDescent="0.3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spans="1:29" ht="19.95" customHeight="1" x14ac:dyDescent="0.3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spans="1:29" ht="19.95" customHeight="1" x14ac:dyDescent="0.3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spans="1:29" ht="19.95" customHeight="1" x14ac:dyDescent="0.3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spans="1:29" ht="19.95" customHeight="1" x14ac:dyDescent="0.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spans="1:29" ht="19.95" customHeight="1" x14ac:dyDescent="0.3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spans="1:29" ht="19.95" customHeight="1" x14ac:dyDescent="0.3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spans="1:29" ht="19.95" customHeight="1" x14ac:dyDescent="0.3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spans="1:29" ht="19.95" customHeight="1" x14ac:dyDescent="0.3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spans="1:29" ht="19.95" customHeight="1" x14ac:dyDescent="0.3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spans="1:29" ht="19.95" customHeight="1" x14ac:dyDescent="0.3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spans="1:29" ht="19.95" customHeight="1" x14ac:dyDescent="0.3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spans="1:29" ht="19.95" customHeight="1" x14ac:dyDescent="0.3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spans="1:29" ht="19.95" customHeight="1" x14ac:dyDescent="0.3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spans="1:29" ht="19.95" customHeight="1" x14ac:dyDescent="0.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spans="1:29" ht="19.95" customHeight="1" x14ac:dyDescent="0.3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spans="1:29" ht="19.95" customHeight="1" x14ac:dyDescent="0.3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spans="1:29" ht="19.95" customHeight="1" x14ac:dyDescent="0.3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spans="1:29" ht="19.95" customHeight="1" x14ac:dyDescent="0.3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spans="1:29" ht="19.95" customHeight="1" x14ac:dyDescent="0.3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spans="1:29" ht="19.95" customHeight="1" x14ac:dyDescent="0.3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spans="1:29" ht="19.95" customHeight="1" x14ac:dyDescent="0.3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spans="1:29" ht="19.95" customHeight="1" x14ac:dyDescent="0.3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spans="1:29" ht="19.95" customHeight="1" x14ac:dyDescent="0.3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spans="1:29" ht="19.95" customHeight="1" x14ac:dyDescent="0.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spans="1:29" ht="19.95" customHeight="1" x14ac:dyDescent="0.3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spans="1:29" ht="19.95" customHeight="1" x14ac:dyDescent="0.3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spans="1:29" ht="19.95" customHeight="1" x14ac:dyDescent="0.3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spans="1:29" ht="19.95" customHeight="1" x14ac:dyDescent="0.3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spans="1:29" ht="19.95" customHeight="1" x14ac:dyDescent="0.3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spans="1:29" ht="19.95" customHeight="1" x14ac:dyDescent="0.3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spans="1:29" ht="19.95" customHeight="1" x14ac:dyDescent="0.3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spans="1:29" ht="19.95" customHeight="1" x14ac:dyDescent="0.3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spans="1:29" ht="19.95" customHeight="1" x14ac:dyDescent="0.3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spans="1:29" ht="19.95" customHeight="1" x14ac:dyDescent="0.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spans="1:29" ht="19.95" customHeight="1" x14ac:dyDescent="0.3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spans="1:29" ht="19.95" customHeight="1" x14ac:dyDescent="0.3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spans="1:29" ht="19.95" customHeight="1" x14ac:dyDescent="0.3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spans="1:29" ht="19.95" customHeight="1" x14ac:dyDescent="0.3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spans="1:29" ht="19.95" customHeight="1" x14ac:dyDescent="0.3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spans="1:29" ht="19.95" customHeight="1" x14ac:dyDescent="0.3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spans="1:29" ht="19.95" customHeight="1" x14ac:dyDescent="0.3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spans="1:29" ht="19.95" customHeight="1" x14ac:dyDescent="0.3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spans="1:29" ht="19.95" customHeight="1" x14ac:dyDescent="0.3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spans="1:29" ht="19.95" customHeight="1" x14ac:dyDescent="0.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spans="1:29" ht="19.95" customHeight="1" x14ac:dyDescent="0.3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spans="1:29" ht="19.95" customHeight="1" x14ac:dyDescent="0.3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spans="1:29" ht="19.95" customHeight="1" x14ac:dyDescent="0.3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spans="1:29" ht="19.95" customHeight="1" x14ac:dyDescent="0.3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spans="1:29" ht="19.95" customHeight="1" x14ac:dyDescent="0.3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spans="1:29" ht="19.95" customHeight="1" x14ac:dyDescent="0.3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spans="1:29" ht="19.95" customHeight="1" x14ac:dyDescent="0.3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spans="1:29" ht="19.95" customHeight="1" x14ac:dyDescent="0.3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spans="1:29" ht="19.95" customHeight="1" x14ac:dyDescent="0.3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spans="1:29" ht="19.95" customHeight="1" x14ac:dyDescent="0.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spans="1:29" ht="19.95" customHeight="1" x14ac:dyDescent="0.3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spans="1:29" ht="19.95" customHeight="1" x14ac:dyDescent="0.3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spans="1:29" ht="19.95" customHeight="1" x14ac:dyDescent="0.3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spans="1:29" ht="19.95" customHeight="1" x14ac:dyDescent="0.3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spans="1:29" ht="19.95" customHeight="1" x14ac:dyDescent="0.3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spans="1:29" ht="19.95" customHeight="1" x14ac:dyDescent="0.3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spans="1:29" ht="19.95" customHeight="1" x14ac:dyDescent="0.3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spans="1:29" ht="19.95" customHeight="1" x14ac:dyDescent="0.3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spans="1:29" ht="19.95" customHeight="1" x14ac:dyDescent="0.3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spans="1:29" ht="19.95" customHeight="1" x14ac:dyDescent="0.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spans="1:29" ht="19.95" customHeight="1" x14ac:dyDescent="0.3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spans="1:29" ht="19.95" customHeight="1" x14ac:dyDescent="0.3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spans="1:29" ht="19.95" customHeight="1" x14ac:dyDescent="0.3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spans="1:29" ht="19.95" customHeight="1" x14ac:dyDescent="0.3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spans="1:29" ht="19.95" customHeight="1" x14ac:dyDescent="0.3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spans="1:29" ht="19.95" customHeight="1" x14ac:dyDescent="0.3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spans="1:29" ht="19.95" customHeight="1" x14ac:dyDescent="0.3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spans="1:29" ht="19.95" customHeight="1" x14ac:dyDescent="0.3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spans="1:29" ht="19.95" customHeight="1" x14ac:dyDescent="0.3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spans="1:29" ht="19.95" customHeight="1" x14ac:dyDescent="0.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spans="1:29" ht="19.95" customHeight="1" x14ac:dyDescent="0.3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spans="1:29" ht="19.95" customHeight="1" x14ac:dyDescent="0.3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spans="1:29" ht="19.95" customHeight="1" x14ac:dyDescent="0.3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spans="1:29" ht="19.95" customHeight="1" x14ac:dyDescent="0.3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spans="1:29" ht="19.95" customHeight="1" x14ac:dyDescent="0.3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spans="1:29" ht="19.95" customHeight="1" x14ac:dyDescent="0.3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spans="1:29" ht="19.95" customHeight="1" x14ac:dyDescent="0.3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spans="1:29" ht="19.95" customHeight="1" x14ac:dyDescent="0.3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spans="1:29" ht="19.95" customHeight="1" x14ac:dyDescent="0.3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spans="1:29" ht="19.95" customHeight="1" x14ac:dyDescent="0.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spans="1:29" ht="19.95" customHeight="1" x14ac:dyDescent="0.3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spans="1:29" ht="19.95" customHeight="1" x14ac:dyDescent="0.3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spans="1:29" ht="19.95" customHeight="1" x14ac:dyDescent="0.3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spans="1:29" ht="19.95" customHeight="1" x14ac:dyDescent="0.3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spans="1:29" ht="19.95" customHeight="1" x14ac:dyDescent="0.3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spans="1:29" ht="19.95" customHeight="1" x14ac:dyDescent="0.3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spans="1:29" ht="19.95" customHeight="1" x14ac:dyDescent="0.3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spans="1:29" ht="19.95" customHeight="1" x14ac:dyDescent="0.3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spans="1:29" ht="19.95" customHeight="1" x14ac:dyDescent="0.3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spans="1:29" ht="19.95" customHeight="1" x14ac:dyDescent="0.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spans="1:29" ht="19.95" customHeight="1" x14ac:dyDescent="0.3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spans="1:29" ht="19.95" customHeight="1" x14ac:dyDescent="0.3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spans="1:29" ht="19.95" customHeight="1" x14ac:dyDescent="0.3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spans="1:29" ht="19.95" customHeight="1" x14ac:dyDescent="0.3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spans="1:29" ht="19.95" customHeight="1" x14ac:dyDescent="0.3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spans="1:29" ht="19.95" customHeight="1" x14ac:dyDescent="0.3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spans="1:29" ht="19.95" customHeight="1" x14ac:dyDescent="0.3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spans="1:29" ht="19.95" customHeight="1" x14ac:dyDescent="0.3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spans="1:29" ht="19.95" customHeight="1" x14ac:dyDescent="0.3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spans="1:29" ht="19.95" customHeight="1" x14ac:dyDescent="0.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spans="1:29" ht="19.95" customHeight="1" x14ac:dyDescent="0.3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spans="1:29" ht="19.95" customHeight="1" x14ac:dyDescent="0.3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spans="1:29" ht="19.95" customHeight="1" x14ac:dyDescent="0.3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spans="1:29" ht="19.95" customHeight="1" x14ac:dyDescent="0.3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spans="1:29" ht="19.95" customHeight="1" x14ac:dyDescent="0.3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spans="1:29" ht="19.95" customHeight="1" x14ac:dyDescent="0.3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spans="1:29" ht="19.95" customHeight="1" x14ac:dyDescent="0.3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spans="1:29" ht="19.95" customHeight="1" x14ac:dyDescent="0.3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spans="1:29" ht="19.95" customHeight="1" x14ac:dyDescent="0.3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spans="1:29" ht="19.95" customHeight="1" x14ac:dyDescent="0.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spans="1:29" ht="19.95" customHeight="1" x14ac:dyDescent="0.3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spans="1:29" ht="19.95" customHeight="1" x14ac:dyDescent="0.3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spans="1:29" ht="19.95" customHeight="1" x14ac:dyDescent="0.3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spans="1:29" ht="19.95" customHeight="1" x14ac:dyDescent="0.3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spans="1:29" ht="19.95" customHeight="1" x14ac:dyDescent="0.3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spans="1:29" ht="19.95" customHeight="1" x14ac:dyDescent="0.3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spans="1:29" ht="19.95" customHeight="1" x14ac:dyDescent="0.3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spans="1:29" ht="19.95" customHeight="1" x14ac:dyDescent="0.3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spans="1:29" ht="19.95" customHeight="1" x14ac:dyDescent="0.3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spans="1:29" ht="19.95" customHeight="1" x14ac:dyDescent="0.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spans="1:29" ht="19.95" customHeight="1" x14ac:dyDescent="0.3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spans="1:29" ht="19.95" customHeight="1" x14ac:dyDescent="0.3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spans="1:29" ht="19.95" customHeight="1" x14ac:dyDescent="0.3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spans="1:29" ht="19.95" customHeight="1" x14ac:dyDescent="0.3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spans="1:29" ht="19.95" customHeight="1" x14ac:dyDescent="0.3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spans="1:29" ht="19.95" customHeight="1" x14ac:dyDescent="0.3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spans="1:29" ht="19.95" customHeight="1" x14ac:dyDescent="0.3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spans="1:29" ht="19.95" customHeight="1" x14ac:dyDescent="0.3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spans="1:29" ht="19.95" customHeight="1" x14ac:dyDescent="0.3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spans="1:29" ht="19.95" customHeight="1" x14ac:dyDescent="0.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spans="1:29" ht="19.95" customHeight="1" x14ac:dyDescent="0.3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spans="1:29" ht="19.95" customHeight="1" x14ac:dyDescent="0.3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spans="1:29" ht="19.95" customHeight="1" x14ac:dyDescent="0.3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spans="1:29" ht="19.95" customHeight="1" x14ac:dyDescent="0.3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spans="1:29" ht="19.95" customHeight="1" x14ac:dyDescent="0.3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spans="1:29" ht="19.95" customHeight="1" x14ac:dyDescent="0.3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spans="1:29" ht="19.95" customHeight="1" x14ac:dyDescent="0.3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spans="1:29" ht="19.95" customHeight="1" x14ac:dyDescent="0.3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spans="1:29" ht="19.95" customHeight="1" x14ac:dyDescent="0.3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spans="1:29" ht="19.95" customHeight="1" x14ac:dyDescent="0.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spans="1:29" ht="19.95" customHeight="1" x14ac:dyDescent="0.3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spans="1:29" ht="19.95" customHeight="1" x14ac:dyDescent="0.3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spans="1:29" ht="19.95" customHeight="1" x14ac:dyDescent="0.3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spans="1:29" ht="19.95" customHeight="1" x14ac:dyDescent="0.3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spans="1:29" ht="19.95" customHeight="1" x14ac:dyDescent="0.3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spans="1:29" ht="19.95" customHeight="1" x14ac:dyDescent="0.3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spans="1:29" ht="19.95" customHeight="1" x14ac:dyDescent="0.3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spans="1:29" ht="19.95" customHeight="1" x14ac:dyDescent="0.3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spans="1:29" ht="19.95" customHeight="1" x14ac:dyDescent="0.3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spans="1:29" ht="19.95" customHeight="1" x14ac:dyDescent="0.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spans="1:29" ht="19.95" customHeight="1" x14ac:dyDescent="0.3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spans="1:29" ht="19.95" customHeight="1" x14ac:dyDescent="0.3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spans="1:29" ht="19.95" customHeight="1" x14ac:dyDescent="0.3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spans="1:29" ht="19.95" customHeight="1" x14ac:dyDescent="0.3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spans="1:29" ht="19.95" customHeight="1" x14ac:dyDescent="0.3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spans="1:29" ht="19.95" customHeight="1" x14ac:dyDescent="0.3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spans="1:29" ht="19.95" customHeight="1" x14ac:dyDescent="0.3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spans="1:29" ht="19.95" customHeight="1" x14ac:dyDescent="0.3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spans="1:29" ht="19.95" customHeight="1" x14ac:dyDescent="0.3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spans="1:29" ht="19.95" customHeight="1" x14ac:dyDescent="0.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spans="1:29" ht="19.95" customHeight="1" x14ac:dyDescent="0.3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spans="1:29" ht="19.95" customHeight="1" x14ac:dyDescent="0.3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spans="1:29" ht="19.95" customHeight="1" x14ac:dyDescent="0.3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spans="1:29" ht="19.95" customHeight="1" x14ac:dyDescent="0.3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spans="1:29" ht="19.95" customHeight="1" x14ac:dyDescent="0.3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spans="1:29" ht="19.95" customHeight="1" x14ac:dyDescent="0.3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spans="1:29" ht="19.95" customHeight="1" x14ac:dyDescent="0.3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spans="1:29" ht="19.95" customHeight="1" x14ac:dyDescent="0.3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spans="1:29" ht="19.95" customHeight="1" x14ac:dyDescent="0.3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spans="1:29" ht="19.95" customHeight="1" x14ac:dyDescent="0.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spans="1:29" ht="19.95" customHeight="1" x14ac:dyDescent="0.3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spans="1:29" ht="19.95" customHeight="1" x14ac:dyDescent="0.3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spans="1:29" ht="19.95" customHeight="1" x14ac:dyDescent="0.3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spans="1:29" ht="19.95" customHeight="1" x14ac:dyDescent="0.3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spans="1:29" ht="19.95" customHeight="1" x14ac:dyDescent="0.3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spans="1:29" ht="19.95" customHeight="1" x14ac:dyDescent="0.3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spans="1:29" ht="19.95" customHeight="1" x14ac:dyDescent="0.3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spans="1:29" ht="19.95" customHeight="1" x14ac:dyDescent="0.3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spans="1:29" ht="19.95" customHeight="1" x14ac:dyDescent="0.3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spans="1:29" ht="19.95" customHeight="1" x14ac:dyDescent="0.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spans="1:29" ht="19.95" customHeight="1" x14ac:dyDescent="0.3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spans="1:29" ht="19.95" customHeight="1" x14ac:dyDescent="0.3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spans="1:29" ht="19.95" customHeight="1" x14ac:dyDescent="0.3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spans="1:29" ht="19.95" customHeight="1" x14ac:dyDescent="0.3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spans="1:29" ht="19.95" customHeight="1" x14ac:dyDescent="0.3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spans="1:29" ht="19.95" customHeight="1" x14ac:dyDescent="0.3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spans="1:29" ht="19.95" customHeight="1" x14ac:dyDescent="0.3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spans="1:29" ht="19.95" customHeight="1" x14ac:dyDescent="0.3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spans="1:29" ht="19.95" customHeight="1" x14ac:dyDescent="0.3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spans="1:29" ht="19.95" customHeight="1" x14ac:dyDescent="0.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spans="1:29" ht="19.95" customHeight="1" x14ac:dyDescent="0.3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spans="1:29" ht="19.95" customHeight="1" x14ac:dyDescent="0.3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spans="1:29" ht="19.95" customHeight="1" x14ac:dyDescent="0.3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spans="1:29" ht="19.95" customHeight="1" x14ac:dyDescent="0.3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spans="1:29" ht="19.95" customHeight="1" x14ac:dyDescent="0.3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spans="1:29" ht="19.95" customHeight="1" x14ac:dyDescent="0.3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spans="1:29" ht="19.95" customHeight="1" x14ac:dyDescent="0.3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spans="1:29" ht="19.95" customHeight="1" x14ac:dyDescent="0.3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spans="1:29" ht="19.95" customHeight="1" x14ac:dyDescent="0.3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spans="1:29" ht="19.95" customHeight="1" x14ac:dyDescent="0.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spans="1:29" ht="19.95" customHeight="1" x14ac:dyDescent="0.3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spans="1:29" ht="19.95" customHeight="1" x14ac:dyDescent="0.3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spans="1:29" ht="19.95" customHeight="1" x14ac:dyDescent="0.3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spans="1:29" ht="19.95" customHeight="1" x14ac:dyDescent="0.3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spans="1:29" ht="19.95" customHeight="1" x14ac:dyDescent="0.3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spans="1:29" ht="19.95" customHeight="1" x14ac:dyDescent="0.3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spans="1:29" ht="19.95" customHeight="1" x14ac:dyDescent="0.3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spans="1:29" ht="19.95" customHeight="1" x14ac:dyDescent="0.3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spans="1:29" ht="19.95" customHeight="1" x14ac:dyDescent="0.3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spans="1:29" ht="19.95" customHeight="1" x14ac:dyDescent="0.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spans="1:29" ht="19.95" customHeight="1" x14ac:dyDescent="0.3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spans="1:29" ht="19.95" customHeight="1" x14ac:dyDescent="0.3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spans="1:29" ht="19.95" customHeight="1" x14ac:dyDescent="0.3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spans="1:29" ht="19.95" customHeight="1" x14ac:dyDescent="0.3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spans="1:29" ht="19.95" customHeight="1" x14ac:dyDescent="0.3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spans="1:29" ht="19.95" customHeight="1" x14ac:dyDescent="0.3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spans="1:29" ht="19.95" customHeight="1" x14ac:dyDescent="0.3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spans="1:29" ht="19.95" customHeight="1" x14ac:dyDescent="0.3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spans="1:29" ht="19.95" customHeight="1" x14ac:dyDescent="0.3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spans="1:29" ht="19.95" customHeight="1" x14ac:dyDescent="0.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spans="1:29" ht="19.95" customHeight="1" x14ac:dyDescent="0.3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spans="1:29" ht="19.95" customHeight="1" x14ac:dyDescent="0.3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spans="1:29" ht="19.95" customHeight="1" x14ac:dyDescent="0.3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spans="1:29" ht="19.95" customHeight="1" x14ac:dyDescent="0.3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spans="1:29" ht="19.95" customHeight="1" x14ac:dyDescent="0.3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spans="1:29" ht="19.95" customHeight="1" x14ac:dyDescent="0.3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spans="1:29" ht="19.95" customHeight="1" x14ac:dyDescent="0.3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spans="1:29" ht="19.95" customHeight="1" x14ac:dyDescent="0.3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spans="1:29" ht="19.95" customHeight="1" x14ac:dyDescent="0.3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spans="1:29" ht="19.95" customHeight="1" x14ac:dyDescent="0.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spans="1:29" ht="19.95" customHeight="1" x14ac:dyDescent="0.3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spans="1:29" ht="19.95" customHeight="1" x14ac:dyDescent="0.3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spans="1:29" ht="19.95" customHeight="1" x14ac:dyDescent="0.3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spans="1:29" ht="19.95" customHeight="1" x14ac:dyDescent="0.3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spans="1:29" ht="19.95" customHeight="1" x14ac:dyDescent="0.3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spans="1:29" ht="19.95" customHeight="1" x14ac:dyDescent="0.3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spans="1:29" ht="19.95" customHeight="1" x14ac:dyDescent="0.3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spans="1:29" ht="19.95" customHeight="1" x14ac:dyDescent="0.3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spans="1:29" ht="19.95" customHeight="1" x14ac:dyDescent="0.3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spans="1:29" ht="19.95" customHeight="1" x14ac:dyDescent="0.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spans="1:29" ht="19.95" customHeight="1" x14ac:dyDescent="0.3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spans="1:29" ht="19.95" customHeight="1" x14ac:dyDescent="0.3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spans="1:29" ht="19.95" customHeight="1" x14ac:dyDescent="0.3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spans="1:29" ht="19.95" customHeight="1" x14ac:dyDescent="0.3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spans="1:29" ht="19.95" customHeight="1" x14ac:dyDescent="0.3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spans="1:29" ht="19.95" customHeight="1" x14ac:dyDescent="0.3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spans="1:29" ht="19.95" customHeight="1" x14ac:dyDescent="0.3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spans="1:29" ht="19.95" customHeight="1" x14ac:dyDescent="0.3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spans="1:29" ht="19.95" customHeight="1" x14ac:dyDescent="0.3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spans="1:29" ht="19.95" customHeight="1" x14ac:dyDescent="0.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spans="1:29" ht="19.95" customHeight="1" x14ac:dyDescent="0.3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spans="1:29" ht="19.95" customHeight="1" x14ac:dyDescent="0.3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spans="1:29" ht="19.95" customHeight="1" x14ac:dyDescent="0.3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spans="1:29" ht="19.95" customHeight="1" x14ac:dyDescent="0.3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spans="1:29" ht="19.95" customHeight="1" x14ac:dyDescent="0.3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spans="1:29" ht="19.95" customHeight="1" x14ac:dyDescent="0.3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spans="1:29" ht="19.95" customHeight="1" x14ac:dyDescent="0.3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spans="1:29" ht="19.95" customHeight="1" x14ac:dyDescent="0.3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spans="1:29" ht="19.95" customHeight="1" x14ac:dyDescent="0.3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spans="1:29" ht="19.95" customHeight="1" x14ac:dyDescent="0.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spans="1:29" ht="19.95" customHeight="1" x14ac:dyDescent="0.3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spans="1:29" ht="19.95" customHeight="1" x14ac:dyDescent="0.3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spans="1:29" ht="19.95" customHeight="1" x14ac:dyDescent="0.3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spans="1:29" ht="19.95" customHeight="1" x14ac:dyDescent="0.3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spans="1:29" ht="19.95" customHeight="1" x14ac:dyDescent="0.3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spans="1:29" ht="19.95" customHeight="1" x14ac:dyDescent="0.3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spans="1:29" ht="19.95" customHeight="1" x14ac:dyDescent="0.3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spans="1:29" ht="19.95" customHeight="1" x14ac:dyDescent="0.3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spans="1:29" ht="19.95" customHeight="1" x14ac:dyDescent="0.3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spans="1:29" ht="19.95" customHeight="1" x14ac:dyDescent="0.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spans="1:29" ht="19.95" customHeight="1" x14ac:dyDescent="0.3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spans="1:29" ht="19.95" customHeight="1" x14ac:dyDescent="0.3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spans="1:29" ht="19.95" customHeight="1" x14ac:dyDescent="0.3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spans="1:29" ht="19.95" customHeight="1" x14ac:dyDescent="0.3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spans="1:29" ht="19.95" customHeight="1" x14ac:dyDescent="0.3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spans="1:29" ht="19.95" customHeight="1" x14ac:dyDescent="0.3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spans="1:29" ht="19.95" customHeight="1" x14ac:dyDescent="0.3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spans="1:29" ht="19.95" customHeight="1" x14ac:dyDescent="0.3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spans="1:29" ht="19.95" customHeight="1" x14ac:dyDescent="0.3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spans="1:29" ht="19.95" customHeight="1" x14ac:dyDescent="0.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spans="1:29" ht="19.95" customHeight="1" x14ac:dyDescent="0.3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spans="1:29" ht="19.95" customHeight="1" x14ac:dyDescent="0.3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spans="1:29" ht="19.95" customHeight="1" x14ac:dyDescent="0.3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spans="1:29" ht="19.95" customHeight="1" x14ac:dyDescent="0.3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spans="1:29" ht="19.95" customHeight="1" x14ac:dyDescent="0.3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spans="1:29" ht="19.95" customHeight="1" x14ac:dyDescent="0.3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spans="1:29" ht="19.95" customHeight="1" x14ac:dyDescent="0.3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spans="1:29" ht="19.95" customHeight="1" x14ac:dyDescent="0.3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spans="1:29" ht="19.95" customHeight="1" x14ac:dyDescent="0.3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spans="1:29" ht="19.95" customHeight="1" x14ac:dyDescent="0.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spans="1:29" ht="19.95" customHeight="1" x14ac:dyDescent="0.3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spans="1:29" ht="19.95" customHeight="1" x14ac:dyDescent="0.3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spans="1:29" ht="19.95" customHeight="1" x14ac:dyDescent="0.3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spans="1:29" ht="19.95" customHeight="1" x14ac:dyDescent="0.3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spans="1:29" ht="19.95" customHeight="1" x14ac:dyDescent="0.3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spans="1:29" ht="19.95" customHeight="1" x14ac:dyDescent="0.3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spans="1:29" ht="19.95" customHeight="1" x14ac:dyDescent="0.3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spans="1:29" ht="19.95" customHeight="1" x14ac:dyDescent="0.3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spans="1:29" ht="19.95" customHeight="1" x14ac:dyDescent="0.3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spans="1:29" ht="19.95" customHeight="1" x14ac:dyDescent="0.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spans="1:29" ht="19.95" customHeight="1" x14ac:dyDescent="0.3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spans="1:29" ht="19.95" customHeight="1" x14ac:dyDescent="0.3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spans="1:29" ht="19.95" customHeight="1" x14ac:dyDescent="0.3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spans="1:29" ht="19.95" customHeight="1" x14ac:dyDescent="0.3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spans="1:29" ht="19.95" customHeight="1" x14ac:dyDescent="0.3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spans="1:29" ht="19.95" customHeight="1" x14ac:dyDescent="0.3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spans="1:29" ht="19.95" customHeight="1" x14ac:dyDescent="0.3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spans="1:29" ht="19.95" customHeight="1" x14ac:dyDescent="0.3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spans="1:29" ht="19.95" customHeight="1" x14ac:dyDescent="0.3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spans="1:29" ht="19.95" customHeight="1" x14ac:dyDescent="0.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spans="1:29" ht="19.95" customHeight="1" x14ac:dyDescent="0.3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spans="1:29" ht="19.95" customHeight="1" x14ac:dyDescent="0.3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spans="1:29" ht="19.95" customHeight="1" x14ac:dyDescent="0.3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spans="1:29" ht="19.95" customHeight="1" x14ac:dyDescent="0.3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spans="1:29" ht="19.95" customHeight="1" x14ac:dyDescent="0.3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spans="1:29" ht="19.95" customHeight="1" x14ac:dyDescent="0.3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spans="1:29" ht="19.95" customHeight="1" x14ac:dyDescent="0.3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spans="1:29" ht="19.95" customHeight="1" x14ac:dyDescent="0.3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spans="1:29" ht="19.95" customHeight="1" x14ac:dyDescent="0.3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spans="1:29" ht="19.95" customHeight="1" x14ac:dyDescent="0.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spans="1:29" ht="19.95" customHeight="1" x14ac:dyDescent="0.3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spans="1:29" ht="19.95" customHeight="1" x14ac:dyDescent="0.3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spans="1:29" ht="19.95" customHeight="1" x14ac:dyDescent="0.3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spans="1:29" ht="19.95" customHeight="1" x14ac:dyDescent="0.3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spans="1:29" ht="19.95" customHeight="1" x14ac:dyDescent="0.3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spans="1:29" ht="19.95" customHeight="1" x14ac:dyDescent="0.3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spans="1:29" ht="19.95" customHeight="1" x14ac:dyDescent="0.3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spans="1:29" ht="19.95" customHeight="1" x14ac:dyDescent="0.3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spans="1:29" ht="19.95" customHeight="1" x14ac:dyDescent="0.3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spans="1:29" ht="19.95" customHeight="1" x14ac:dyDescent="0.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spans="1:29" ht="19.95" customHeight="1" x14ac:dyDescent="0.3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spans="1:29" ht="19.95" customHeight="1" x14ac:dyDescent="0.3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spans="1:29" ht="19.95" customHeight="1" x14ac:dyDescent="0.3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spans="1:29" ht="19.95" customHeight="1" x14ac:dyDescent="0.3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spans="1:29" ht="19.95" customHeight="1" x14ac:dyDescent="0.3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spans="1:29" ht="19.95" customHeight="1" x14ac:dyDescent="0.3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spans="1:29" ht="19.95" customHeight="1" x14ac:dyDescent="0.3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spans="1:29" ht="19.95" customHeight="1" x14ac:dyDescent="0.3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spans="1:29" ht="19.95" customHeight="1" x14ac:dyDescent="0.3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spans="1:29" ht="19.95" customHeight="1" x14ac:dyDescent="0.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spans="1:29" ht="19.95" customHeight="1" x14ac:dyDescent="0.3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spans="1:29" ht="19.95" customHeight="1" x14ac:dyDescent="0.3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spans="1:29" ht="19.95" customHeight="1" x14ac:dyDescent="0.3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spans="1:29" ht="19.95" customHeight="1" x14ac:dyDescent="0.3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spans="1:29" ht="19.95" customHeight="1" x14ac:dyDescent="0.3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spans="1:29" ht="19.95" customHeight="1" x14ac:dyDescent="0.3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spans="1:29" ht="19.95" customHeight="1" x14ac:dyDescent="0.3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spans="1:29" ht="19.95" customHeight="1" x14ac:dyDescent="0.3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spans="1:29" ht="19.95" customHeight="1" x14ac:dyDescent="0.3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spans="1:29" ht="19.95" customHeight="1" x14ac:dyDescent="0.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spans="1:29" ht="19.95" customHeight="1" x14ac:dyDescent="0.3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spans="1:29" ht="19.95" customHeight="1" x14ac:dyDescent="0.3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spans="1:29" ht="19.95" customHeight="1" x14ac:dyDescent="0.3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spans="1:29" ht="19.95" customHeight="1" x14ac:dyDescent="0.3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spans="1:29" ht="19.95" customHeight="1" x14ac:dyDescent="0.3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spans="1:29" ht="19.95" customHeight="1" x14ac:dyDescent="0.3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spans="1:29" ht="19.95" customHeight="1" x14ac:dyDescent="0.3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spans="1:29" ht="19.95" customHeight="1" x14ac:dyDescent="0.3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spans="1:29" ht="19.95" customHeight="1" x14ac:dyDescent="0.3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spans="1:29" ht="19.95" customHeight="1" x14ac:dyDescent="0.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spans="1:29" ht="19.95" customHeight="1" x14ac:dyDescent="0.3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spans="1:29" ht="19.95" customHeight="1" x14ac:dyDescent="0.3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spans="1:29" ht="19.95" customHeight="1" x14ac:dyDescent="0.3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spans="1:29" ht="19.95" customHeight="1" x14ac:dyDescent="0.3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spans="1:29" ht="19.95" customHeight="1" x14ac:dyDescent="0.3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spans="1:29" ht="19.95" customHeight="1" x14ac:dyDescent="0.3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spans="1:29" ht="19.95" customHeight="1" x14ac:dyDescent="0.3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spans="1:29" ht="19.95" customHeight="1" x14ac:dyDescent="0.3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spans="1:29" ht="19.95" customHeight="1" x14ac:dyDescent="0.3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spans="1:29" ht="19.95" customHeight="1" x14ac:dyDescent="0.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spans="1:29" ht="19.95" customHeight="1" x14ac:dyDescent="0.3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spans="1:29" ht="19.95" customHeight="1" x14ac:dyDescent="0.3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spans="1:29" ht="19.95" customHeight="1" x14ac:dyDescent="0.3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spans="1:29" ht="19.95" customHeight="1" x14ac:dyDescent="0.3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spans="1:29" ht="19.95" customHeight="1" x14ac:dyDescent="0.3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spans="1:29" ht="19.95" customHeight="1" x14ac:dyDescent="0.3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spans="1:29" ht="19.95" customHeight="1" x14ac:dyDescent="0.3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spans="1:29" ht="19.95" customHeight="1" x14ac:dyDescent="0.3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spans="1:29" ht="19.95" customHeight="1" x14ac:dyDescent="0.3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spans="1:29" ht="19.95" customHeight="1" x14ac:dyDescent="0.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spans="1:29" ht="19.95" customHeight="1" x14ac:dyDescent="0.3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spans="1:29" ht="19.95" customHeight="1" x14ac:dyDescent="0.3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spans="1:29" ht="19.95" customHeight="1" x14ac:dyDescent="0.3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spans="1:29" ht="19.95" customHeight="1" x14ac:dyDescent="0.3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spans="1:29" ht="19.95" customHeight="1" x14ac:dyDescent="0.3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spans="1:29" ht="19.95" customHeight="1" x14ac:dyDescent="0.3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spans="1:29" ht="19.95" customHeight="1" x14ac:dyDescent="0.3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spans="1:29" ht="19.95" customHeight="1" x14ac:dyDescent="0.3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spans="1:29" ht="19.95" customHeight="1" x14ac:dyDescent="0.3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spans="1:29" ht="19.95" customHeight="1" x14ac:dyDescent="0.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spans="1:29" ht="19.95" customHeight="1" x14ac:dyDescent="0.3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spans="1:29" ht="19.95" customHeight="1" x14ac:dyDescent="0.3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spans="1:29" ht="19.95" customHeight="1" x14ac:dyDescent="0.3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spans="1:29" ht="19.95" customHeight="1" x14ac:dyDescent="0.3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spans="1:29" ht="19.95" customHeight="1" x14ac:dyDescent="0.3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spans="1:29" ht="19.95" customHeight="1" x14ac:dyDescent="0.3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spans="1:29" ht="19.95" customHeight="1" x14ac:dyDescent="0.3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spans="1:29" ht="19.95" customHeight="1" x14ac:dyDescent="0.3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spans="1:29" ht="19.95" customHeight="1" x14ac:dyDescent="0.3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spans="1:29" ht="19.95" customHeight="1" x14ac:dyDescent="0.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spans="1:29" ht="19.95" customHeight="1" x14ac:dyDescent="0.3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spans="1:29" ht="19.95" customHeight="1" x14ac:dyDescent="0.3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spans="1:29" ht="19.95" customHeight="1" x14ac:dyDescent="0.3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spans="1:29" ht="19.95" customHeight="1" x14ac:dyDescent="0.3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spans="1:29" ht="19.95" customHeight="1" x14ac:dyDescent="0.3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spans="1:29" ht="19.95" customHeight="1" x14ac:dyDescent="0.3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spans="1:29" ht="19.95" customHeight="1" x14ac:dyDescent="0.3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spans="1:29" ht="19.95" customHeight="1" x14ac:dyDescent="0.3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spans="1:29" ht="19.95" customHeight="1" x14ac:dyDescent="0.3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spans="1:29" ht="19.95" customHeight="1" x14ac:dyDescent="0.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spans="1:29" ht="19.95" customHeight="1" x14ac:dyDescent="0.3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spans="1:29" ht="19.95" customHeight="1" x14ac:dyDescent="0.3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spans="1:29" ht="19.95" customHeight="1" x14ac:dyDescent="0.3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spans="1:29" ht="19.95" customHeight="1" x14ac:dyDescent="0.3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spans="1:29" ht="19.95" customHeight="1" x14ac:dyDescent="0.3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spans="1:29" ht="19.95" customHeight="1" x14ac:dyDescent="0.3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spans="1:29" ht="19.95" customHeight="1" x14ac:dyDescent="0.3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spans="1:29" ht="19.95" customHeight="1" x14ac:dyDescent="0.3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spans="1:29" ht="19.95" customHeight="1" x14ac:dyDescent="0.3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spans="1:29" ht="19.95" customHeight="1" x14ac:dyDescent="0.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spans="1:29" ht="19.95" customHeight="1" x14ac:dyDescent="0.3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spans="1:29" ht="19.95" customHeight="1" x14ac:dyDescent="0.3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spans="1:29" ht="19.95" customHeight="1" x14ac:dyDescent="0.3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spans="1:29" ht="19.95" customHeight="1" x14ac:dyDescent="0.3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spans="1:29" ht="19.95" customHeight="1" x14ac:dyDescent="0.3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spans="1:29" ht="19.95" customHeight="1" x14ac:dyDescent="0.3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spans="1:29" ht="19.95" customHeight="1" x14ac:dyDescent="0.3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spans="1:29" ht="19.95" customHeight="1" x14ac:dyDescent="0.3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spans="1:29" ht="19.95" customHeight="1" x14ac:dyDescent="0.3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spans="1:29" ht="19.95" customHeight="1" x14ac:dyDescent="0.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spans="1:29" ht="19.95" customHeight="1" x14ac:dyDescent="0.3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spans="1:29" ht="19.95" customHeight="1" x14ac:dyDescent="0.3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spans="1:29" ht="19.95" customHeight="1" x14ac:dyDescent="0.3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spans="1:29" ht="19.95" customHeight="1" x14ac:dyDescent="0.3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spans="1:29" ht="19.95" customHeight="1" x14ac:dyDescent="0.3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spans="1:29" ht="19.95" customHeight="1" x14ac:dyDescent="0.3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spans="1:29" ht="19.95" customHeight="1" x14ac:dyDescent="0.3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spans="1:29" ht="19.95" customHeight="1" x14ac:dyDescent="0.3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spans="1:29" ht="19.95" customHeight="1" x14ac:dyDescent="0.3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spans="1:29" ht="19.95" customHeight="1" x14ac:dyDescent="0.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spans="1:29" ht="19.95" customHeight="1" x14ac:dyDescent="0.3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spans="1:29" ht="19.95" customHeight="1" x14ac:dyDescent="0.3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spans="1:29" ht="19.95" customHeight="1" x14ac:dyDescent="0.3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spans="1:29" ht="19.95" customHeight="1" x14ac:dyDescent="0.3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spans="1:29" ht="19.95" customHeight="1" x14ac:dyDescent="0.3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spans="1:29" ht="19.95" customHeight="1" x14ac:dyDescent="0.3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spans="1:29" ht="19.95" customHeight="1" x14ac:dyDescent="0.3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spans="1:29" ht="19.95" customHeight="1" x14ac:dyDescent="0.3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spans="1:29" ht="19.95" customHeight="1" x14ac:dyDescent="0.3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spans="1:29" ht="19.95" customHeight="1" x14ac:dyDescent="0.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spans="1:29" ht="19.95" customHeight="1" x14ac:dyDescent="0.3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spans="1:29" ht="19.95" customHeight="1" x14ac:dyDescent="0.3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spans="1:29" ht="19.95" customHeight="1" x14ac:dyDescent="0.3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spans="1:29" ht="19.95" customHeight="1" x14ac:dyDescent="0.3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spans="1:29" ht="19.95" customHeight="1" x14ac:dyDescent="0.3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spans="1:29" ht="19.95" customHeight="1" x14ac:dyDescent="0.3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spans="1:29" ht="19.95" customHeight="1" x14ac:dyDescent="0.3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spans="1:29" ht="19.95" customHeight="1" x14ac:dyDescent="0.3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spans="1:29" ht="19.95" customHeight="1" x14ac:dyDescent="0.3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spans="1:29" ht="19.95" customHeight="1" x14ac:dyDescent="0.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spans="1:29" ht="19.95" customHeight="1" x14ac:dyDescent="0.3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spans="1:29" ht="19.95" customHeight="1" x14ac:dyDescent="0.3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spans="1:29" ht="19.95" customHeight="1" x14ac:dyDescent="0.3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spans="1:29" ht="19.95" customHeight="1" x14ac:dyDescent="0.3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spans="1:29" ht="19.95" customHeight="1" x14ac:dyDescent="0.3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spans="1:29" ht="19.95" customHeight="1" x14ac:dyDescent="0.3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spans="1:29" ht="19.95" customHeight="1" x14ac:dyDescent="0.3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spans="1:29" ht="19.95" customHeight="1" x14ac:dyDescent="0.3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spans="1:29" ht="19.95" customHeight="1" x14ac:dyDescent="0.3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spans="1:29" ht="19.95" customHeight="1" x14ac:dyDescent="0.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spans="1:29" ht="19.95" customHeight="1" x14ac:dyDescent="0.3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spans="1:29" ht="19.95" customHeight="1" x14ac:dyDescent="0.3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spans="1:29" ht="19.95" customHeight="1" x14ac:dyDescent="0.3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spans="1:29" ht="19.95" customHeight="1" x14ac:dyDescent="0.3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spans="1:29" ht="19.95" customHeight="1" x14ac:dyDescent="0.3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spans="1:29" ht="19.95" customHeight="1" x14ac:dyDescent="0.3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spans="1:29" ht="19.95" customHeight="1" x14ac:dyDescent="0.3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spans="1:29" ht="19.95" customHeight="1" x14ac:dyDescent="0.3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spans="1:29" ht="19.95" customHeight="1" x14ac:dyDescent="0.3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spans="1:29" ht="19.95" customHeight="1" x14ac:dyDescent="0.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spans="1:29" ht="19.95" customHeight="1" x14ac:dyDescent="0.3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spans="1:29" ht="19.95" customHeight="1" x14ac:dyDescent="0.3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spans="1:29" ht="19.95" customHeight="1" x14ac:dyDescent="0.3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spans="1:29" ht="19.95" customHeight="1" x14ac:dyDescent="0.3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spans="1:29" ht="19.95" customHeight="1" x14ac:dyDescent="0.3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spans="1:29" ht="19.95" customHeight="1" x14ac:dyDescent="0.3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spans="1:29" ht="19.95" customHeight="1" x14ac:dyDescent="0.3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spans="1:29" ht="19.95" customHeight="1" x14ac:dyDescent="0.3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spans="1:29" ht="19.95" customHeight="1" x14ac:dyDescent="0.3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spans="1:29" ht="19.95" customHeight="1" x14ac:dyDescent="0.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spans="1:29" ht="19.95" customHeight="1" x14ac:dyDescent="0.3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spans="1:29" ht="19.95" customHeight="1" x14ac:dyDescent="0.3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spans="1:29" ht="19.95" customHeight="1" x14ac:dyDescent="0.3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spans="1:29" ht="19.95" customHeight="1" x14ac:dyDescent="0.3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spans="1:29" ht="19.95" customHeight="1" x14ac:dyDescent="0.3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spans="1:29" ht="19.95" customHeight="1" x14ac:dyDescent="0.3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spans="1:29" ht="19.95" customHeight="1" x14ac:dyDescent="0.3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spans="1:29" ht="19.95" customHeight="1" x14ac:dyDescent="0.3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spans="1:29" ht="19.95" customHeight="1" x14ac:dyDescent="0.3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spans="1:29" ht="19.95" customHeight="1" x14ac:dyDescent="0.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spans="1:29" ht="19.95" customHeight="1" x14ac:dyDescent="0.3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spans="1:29" ht="19.95" customHeight="1" x14ac:dyDescent="0.3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spans="1:29" ht="19.95" customHeight="1" x14ac:dyDescent="0.3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spans="1:29" ht="19.95" customHeight="1" x14ac:dyDescent="0.3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spans="1:29" ht="19.95" customHeight="1" x14ac:dyDescent="0.3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spans="1:29" ht="19.95" customHeight="1" x14ac:dyDescent="0.3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spans="1:29" ht="19.95" customHeight="1" x14ac:dyDescent="0.3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spans="1:29" ht="19.95" customHeight="1" x14ac:dyDescent="0.3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spans="1:29" ht="19.95" customHeight="1" x14ac:dyDescent="0.3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spans="1:29" ht="19.95" customHeight="1" x14ac:dyDescent="0.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spans="1:29" ht="19.95" customHeight="1" x14ac:dyDescent="0.3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spans="1:29" ht="19.95" customHeight="1" x14ac:dyDescent="0.3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spans="1:29" ht="19.95" customHeight="1" x14ac:dyDescent="0.3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spans="1:29" ht="19.95" customHeight="1" x14ac:dyDescent="0.3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spans="1:29" ht="19.95" customHeight="1" x14ac:dyDescent="0.3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spans="1:29" ht="19.95" customHeight="1" x14ac:dyDescent="0.3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spans="1:29" ht="19.95" customHeight="1" x14ac:dyDescent="0.3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spans="1:29" ht="19.95" customHeight="1" x14ac:dyDescent="0.3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spans="1:29" ht="19.95" customHeight="1" x14ac:dyDescent="0.3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spans="1:29" ht="19.95" customHeight="1" x14ac:dyDescent="0.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spans="1:29" ht="19.95" customHeight="1" x14ac:dyDescent="0.3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spans="1:29" ht="19.95" customHeight="1" x14ac:dyDescent="0.3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spans="1:29" ht="19.95" customHeight="1" x14ac:dyDescent="0.3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spans="1:29" ht="19.95" customHeight="1" x14ac:dyDescent="0.3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spans="1:29" ht="19.95" customHeight="1" x14ac:dyDescent="0.3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spans="1:29" ht="19.95" customHeight="1" x14ac:dyDescent="0.3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spans="1:29" ht="19.95" customHeight="1" x14ac:dyDescent="0.3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spans="1:29" ht="19.95" customHeight="1" x14ac:dyDescent="0.3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spans="1:29" ht="19.95" customHeight="1" x14ac:dyDescent="0.3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spans="1:29" ht="19.95" customHeight="1" x14ac:dyDescent="0.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spans="1:29" ht="19.95" customHeight="1" x14ac:dyDescent="0.3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spans="1:29" ht="19.95" customHeight="1" x14ac:dyDescent="0.3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spans="1:29" ht="19.95" customHeight="1" x14ac:dyDescent="0.3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spans="1:29" ht="19.95" customHeight="1" x14ac:dyDescent="0.3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spans="1:29" ht="19.95" customHeight="1" x14ac:dyDescent="0.3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spans="1:29" ht="19.95" customHeight="1" x14ac:dyDescent="0.3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spans="1:29" ht="19.95" customHeight="1" x14ac:dyDescent="0.3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spans="1:29" ht="19.95" customHeight="1" x14ac:dyDescent="0.3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spans="1:29" ht="19.95" customHeight="1" x14ac:dyDescent="0.3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spans="1:29" ht="19.95" customHeight="1" x14ac:dyDescent="0.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spans="1:29" ht="19.95" customHeight="1" x14ac:dyDescent="0.3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spans="1:29" ht="19.95" customHeight="1" x14ac:dyDescent="0.3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spans="1:29" ht="19.95" customHeight="1" x14ac:dyDescent="0.3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spans="1:29" ht="19.95" customHeight="1" x14ac:dyDescent="0.3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spans="1:29" ht="19.95" customHeight="1" x14ac:dyDescent="0.3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spans="1:29" ht="19.95" customHeight="1" x14ac:dyDescent="0.3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spans="1:29" ht="19.95" customHeight="1" x14ac:dyDescent="0.3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spans="1:29" ht="19.95" customHeight="1" x14ac:dyDescent="0.3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spans="1:29" ht="19.95" customHeight="1" x14ac:dyDescent="0.3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spans="1:29" ht="19.95" customHeight="1" x14ac:dyDescent="0.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spans="1:29" ht="19.95" customHeight="1" x14ac:dyDescent="0.3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spans="1:29" ht="19.95" customHeight="1" x14ac:dyDescent="0.3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spans="1:29" ht="19.95" customHeight="1" x14ac:dyDescent="0.3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spans="1:29" ht="19.95" customHeight="1" x14ac:dyDescent="0.3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spans="1:29" ht="19.95" customHeight="1" x14ac:dyDescent="0.3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spans="1:29" ht="19.95" customHeight="1" x14ac:dyDescent="0.3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spans="1:29" ht="19.95" customHeight="1" x14ac:dyDescent="0.3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spans="1:29" ht="19.95" customHeight="1" x14ac:dyDescent="0.3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spans="1:29" ht="19.95" customHeight="1" x14ac:dyDescent="0.3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spans="1:29" ht="19.95" customHeight="1" x14ac:dyDescent="0.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spans="1:29" ht="19.95" customHeight="1" x14ac:dyDescent="0.3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spans="1:29" ht="19.95" customHeight="1" x14ac:dyDescent="0.3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spans="1:29" ht="19.95" customHeight="1" x14ac:dyDescent="0.3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spans="1:29" ht="19.95" customHeight="1" x14ac:dyDescent="0.3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spans="1:29" ht="19.95" customHeight="1" x14ac:dyDescent="0.3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spans="1:29" ht="19.95" customHeight="1" x14ac:dyDescent="0.3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spans="1:29" ht="19.95" customHeight="1" x14ac:dyDescent="0.3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spans="1:29" ht="19.95" customHeight="1" x14ac:dyDescent="0.3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spans="1:29" ht="19.95" customHeight="1" x14ac:dyDescent="0.3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spans="1:29" ht="19.95" customHeight="1" x14ac:dyDescent="0.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spans="1:29" ht="19.95" customHeight="1" x14ac:dyDescent="0.3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spans="1:29" ht="19.95" customHeight="1" x14ac:dyDescent="0.3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spans="1:29" ht="19.95" customHeight="1" x14ac:dyDescent="0.3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spans="1:29" ht="19.95" customHeight="1" x14ac:dyDescent="0.3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spans="1:29" ht="19.95" customHeight="1" x14ac:dyDescent="0.3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spans="1:29" ht="19.95" customHeight="1" x14ac:dyDescent="0.3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spans="1:29" ht="19.95" customHeight="1" x14ac:dyDescent="0.3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spans="1:29" ht="19.95" customHeight="1" x14ac:dyDescent="0.3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spans="1:29" ht="19.95" customHeight="1" x14ac:dyDescent="0.3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spans="1:29" ht="19.95" customHeight="1" x14ac:dyDescent="0.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spans="1:29" ht="19.95" customHeight="1" x14ac:dyDescent="0.3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spans="1:29" ht="19.95" customHeight="1" x14ac:dyDescent="0.3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spans="1:29" ht="19.95" customHeight="1" x14ac:dyDescent="0.3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spans="1:29" ht="19.95" customHeight="1" x14ac:dyDescent="0.3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spans="1:29" ht="19.95" customHeight="1" x14ac:dyDescent="0.3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spans="1:29" ht="19.95" customHeight="1" x14ac:dyDescent="0.3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spans="1:29" ht="19.95" customHeight="1" x14ac:dyDescent="0.3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spans="1:29" ht="19.95" customHeight="1" x14ac:dyDescent="0.3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spans="1:29" ht="19.95" customHeight="1" x14ac:dyDescent="0.3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spans="1:29" ht="19.95" customHeight="1" x14ac:dyDescent="0.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spans="1:29" ht="19.95" customHeight="1" x14ac:dyDescent="0.3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spans="1:29" ht="19.95" customHeight="1" x14ac:dyDescent="0.3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spans="1:29" ht="19.95" customHeight="1" x14ac:dyDescent="0.3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spans="1:29" ht="19.95" customHeight="1" x14ac:dyDescent="0.3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spans="1:29" ht="19.95" customHeight="1" x14ac:dyDescent="0.3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spans="1:29" ht="19.95" customHeight="1" x14ac:dyDescent="0.3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spans="1:29" ht="19.95" customHeight="1" x14ac:dyDescent="0.3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spans="1:29" ht="19.95" customHeight="1" x14ac:dyDescent="0.3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spans="1:29" ht="19.95" customHeight="1" x14ac:dyDescent="0.3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spans="1:29" ht="19.95" customHeight="1" x14ac:dyDescent="0.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spans="1:29" ht="19.95" customHeight="1" x14ac:dyDescent="0.3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spans="1:29" ht="19.95" customHeight="1" x14ac:dyDescent="0.3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spans="1:29" ht="19.95" customHeight="1" x14ac:dyDescent="0.3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spans="1:29" ht="19.95" customHeight="1" x14ac:dyDescent="0.3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spans="1:29" ht="19.95" customHeight="1" x14ac:dyDescent="0.3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spans="1:29" ht="19.95" customHeight="1" x14ac:dyDescent="0.3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spans="1:29" ht="19.95" customHeight="1" x14ac:dyDescent="0.3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spans="1:29" ht="19.95" customHeight="1" x14ac:dyDescent="0.3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spans="1:29" ht="19.95" customHeight="1" x14ac:dyDescent="0.3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spans="1:29" ht="19.95" customHeight="1" x14ac:dyDescent="0.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spans="1:29" ht="19.95" customHeight="1" x14ac:dyDescent="0.3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spans="1:29" ht="19.95" customHeight="1" x14ac:dyDescent="0.3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spans="1:29" ht="19.95" customHeight="1" x14ac:dyDescent="0.3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spans="1:29" ht="19.95" customHeight="1" x14ac:dyDescent="0.3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spans="1:29" ht="19.95" customHeight="1" x14ac:dyDescent="0.3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spans="1:29" ht="19.95" customHeight="1" x14ac:dyDescent="0.3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spans="1:29" ht="19.95" customHeight="1" x14ac:dyDescent="0.3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spans="1:29" ht="19.95" customHeight="1" x14ac:dyDescent="0.3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spans="1:29" ht="19.95" customHeight="1" x14ac:dyDescent="0.3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spans="1:29" ht="19.95" customHeight="1" x14ac:dyDescent="0.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spans="1:29" ht="19.95" customHeight="1" x14ac:dyDescent="0.3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spans="1:29" ht="19.95" customHeight="1" x14ac:dyDescent="0.3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spans="1:29" ht="19.95" customHeight="1" x14ac:dyDescent="0.3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spans="1:29" ht="19.95" customHeight="1" x14ac:dyDescent="0.3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spans="1:29" ht="19.95" customHeight="1" x14ac:dyDescent="0.3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spans="1:29" ht="19.95" customHeight="1" x14ac:dyDescent="0.3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spans="1:29" ht="19.95" customHeight="1" x14ac:dyDescent="0.3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spans="1:29" ht="19.95" customHeight="1" x14ac:dyDescent="0.3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spans="1:29" ht="19.95" customHeight="1" x14ac:dyDescent="0.3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spans="1:29" ht="19.95" customHeight="1" x14ac:dyDescent="0.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spans="1:29" ht="19.95" customHeight="1" x14ac:dyDescent="0.3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spans="1:29" ht="19.95" customHeight="1" x14ac:dyDescent="0.3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spans="1:29" ht="19.95" customHeight="1" x14ac:dyDescent="0.3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spans="1:29" ht="19.95" customHeight="1" x14ac:dyDescent="0.3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spans="1:29" ht="19.95" customHeight="1" x14ac:dyDescent="0.3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spans="1:29" ht="19.95" customHeight="1" x14ac:dyDescent="0.3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spans="1:29" ht="19.95" customHeight="1" x14ac:dyDescent="0.3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spans="1:29" ht="19.95" customHeight="1" x14ac:dyDescent="0.3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spans="1:29" ht="19.95" customHeight="1" x14ac:dyDescent="0.3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spans="1:29" ht="19.95" customHeight="1" x14ac:dyDescent="0.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spans="1:29" ht="19.95" customHeight="1" x14ac:dyDescent="0.3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  <row r="995" spans="1:29" ht="19.95" customHeight="1" x14ac:dyDescent="0.3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</row>
    <row r="996" spans="1:29" ht="19.95" customHeight="1" x14ac:dyDescent="0.3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</row>
    <row r="997" spans="1:29" ht="19.95" customHeight="1" x14ac:dyDescent="0.3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</row>
    <row r="998" spans="1:29" ht="19.95" customHeight="1" x14ac:dyDescent="0.3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</row>
    <row r="999" spans="1:29" ht="19.95" customHeight="1" x14ac:dyDescent="0.3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</row>
    <row r="1000" spans="1:29" ht="19.95" customHeight="1" x14ac:dyDescent="0.3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</row>
    <row r="1001" spans="1:29" ht="19.95" customHeight="1" x14ac:dyDescent="0.3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</row>
    <row r="1002" spans="1:29" ht="19.95" customHeight="1" x14ac:dyDescent="0.3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</row>
    <row r="1003" spans="1:29" ht="19.95" customHeight="1" x14ac:dyDescent="0.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</row>
    <row r="1004" spans="1:29" ht="19.95" customHeight="1" x14ac:dyDescent="0.3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</row>
    <row r="1005" spans="1:29" ht="19.95" customHeight="1" x14ac:dyDescent="0.3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</row>
    <row r="1006" spans="1:29" ht="19.95" customHeight="1" x14ac:dyDescent="0.3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</row>
    <row r="1007" spans="1:29" ht="19.95" customHeight="1" x14ac:dyDescent="0.3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</row>
    <row r="1008" spans="1:29" ht="19.95" customHeight="1" x14ac:dyDescent="0.3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</row>
    <row r="1009" spans="1:29" ht="19.95" customHeight="1" x14ac:dyDescent="0.3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</row>
    <row r="1010" spans="1:29" ht="19.95" customHeight="1" x14ac:dyDescent="0.3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</row>
    <row r="1011" spans="1:29" ht="19.95" customHeight="1" x14ac:dyDescent="0.3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</row>
    <row r="1012" spans="1:29" ht="19.95" customHeight="1" x14ac:dyDescent="0.3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</row>
    <row r="1013" spans="1:29" ht="19.95" customHeight="1" x14ac:dyDescent="0.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  <c r="AB1013" s="18"/>
      <c r="AC1013" s="18"/>
    </row>
    <row r="1014" spans="1:29" ht="19.95" customHeight="1" x14ac:dyDescent="0.3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  <c r="AB1014" s="18"/>
      <c r="AC1014" s="18"/>
    </row>
    <row r="1015" spans="1:29" ht="19.95" customHeight="1" x14ac:dyDescent="0.3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  <c r="AB1015" s="18"/>
      <c r="AC1015" s="18"/>
    </row>
    <row r="1016" spans="1:29" ht="19.95" customHeight="1" x14ac:dyDescent="0.3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  <c r="AB1016" s="18"/>
      <c r="AC1016" s="18"/>
    </row>
    <row r="1017" spans="1:29" ht="19.95" customHeight="1" x14ac:dyDescent="0.3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  <c r="AB1017" s="18"/>
      <c r="AC1017" s="18"/>
    </row>
    <row r="1018" spans="1:29" ht="19.95" customHeight="1" x14ac:dyDescent="0.3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  <c r="AB1018" s="18"/>
      <c r="AC1018" s="18"/>
    </row>
    <row r="1019" spans="1:29" ht="19.95" customHeight="1" x14ac:dyDescent="0.3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  <c r="AB1019" s="18"/>
      <c r="AC1019" s="18"/>
    </row>
    <row r="1020" spans="1:29" ht="19.95" customHeight="1" x14ac:dyDescent="0.3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  <c r="AB1020" s="18"/>
      <c r="AC1020" s="18"/>
    </row>
    <row r="1021" spans="1:29" ht="19.95" customHeight="1" x14ac:dyDescent="0.3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  <c r="AB1021" s="18"/>
      <c r="AC1021" s="18"/>
    </row>
  </sheetData>
  <mergeCells count="38">
    <mergeCell ref="D96:E96"/>
    <mergeCell ref="E9:I9"/>
    <mergeCell ref="L9:N9"/>
    <mergeCell ref="E13:I13"/>
    <mergeCell ref="A17:A96"/>
    <mergeCell ref="B17:C17"/>
    <mergeCell ref="B18:C18"/>
    <mergeCell ref="B19:C19"/>
    <mergeCell ref="B20:B30"/>
    <mergeCell ref="B31:B41"/>
    <mergeCell ref="B42:B62"/>
    <mergeCell ref="B63:B72"/>
    <mergeCell ref="B73:B82"/>
    <mergeCell ref="B83:B92"/>
    <mergeCell ref="B93:B94"/>
    <mergeCell ref="B95:C96"/>
    <mergeCell ref="D95:E95"/>
    <mergeCell ref="B12:C12"/>
    <mergeCell ref="E12:I12"/>
    <mergeCell ref="A13:C13"/>
    <mergeCell ref="L6:N6"/>
    <mergeCell ref="B7:C7"/>
    <mergeCell ref="E7:I7"/>
    <mergeCell ref="L7:N7"/>
    <mergeCell ref="B10:C10"/>
    <mergeCell ref="E10:I10"/>
    <mergeCell ref="L10:N10"/>
    <mergeCell ref="B11:C11"/>
    <mergeCell ref="E11:I11"/>
    <mergeCell ref="B8:C8"/>
    <mergeCell ref="E8:I8"/>
    <mergeCell ref="L8:N8"/>
    <mergeCell ref="B9:C9"/>
    <mergeCell ref="B1:E1"/>
    <mergeCell ref="B2:E2"/>
    <mergeCell ref="B3:E3"/>
    <mergeCell ref="B4:E4"/>
    <mergeCell ref="A6:I6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2"/>
  <sheetViews>
    <sheetView workbookViewId="0">
      <selection activeCell="C4" sqref="C4"/>
    </sheetView>
  </sheetViews>
  <sheetFormatPr defaultRowHeight="14.4" x14ac:dyDescent="0.3"/>
  <cols>
    <col min="2" max="11" width="10" customWidth="1"/>
  </cols>
  <sheetData>
    <row r="1" spans="1:11" ht="16.8" x14ac:dyDescent="0.3">
      <c r="A1" s="105" t="s">
        <v>19</v>
      </c>
      <c r="B1" s="106"/>
      <c r="C1" s="106"/>
      <c r="D1" s="106"/>
      <c r="E1" s="106"/>
      <c r="F1" s="106"/>
      <c r="G1" s="106"/>
      <c r="H1" s="106"/>
      <c r="I1" s="106"/>
      <c r="J1" s="106"/>
      <c r="K1" s="107"/>
    </row>
    <row r="2" spans="1:11" ht="16.8" x14ac:dyDescent="0.3">
      <c r="A2" s="108"/>
      <c r="B2" s="109" t="s">
        <v>43</v>
      </c>
      <c r="C2" s="109"/>
      <c r="D2" s="109" t="s">
        <v>40</v>
      </c>
      <c r="E2" s="109"/>
      <c r="F2" s="109" t="s">
        <v>22</v>
      </c>
      <c r="G2" s="109"/>
      <c r="H2" s="109" t="s">
        <v>78</v>
      </c>
      <c r="I2" s="109"/>
      <c r="J2" s="109" t="s">
        <v>79</v>
      </c>
      <c r="K2" s="110"/>
    </row>
    <row r="3" spans="1:11" ht="16.8" x14ac:dyDescent="0.3">
      <c r="A3" s="108"/>
      <c r="B3" s="4" t="s">
        <v>9</v>
      </c>
      <c r="C3" s="4" t="s">
        <v>18</v>
      </c>
      <c r="D3" s="4" t="s">
        <v>9</v>
      </c>
      <c r="E3" s="4" t="s">
        <v>18</v>
      </c>
      <c r="F3" s="4" t="s">
        <v>9</v>
      </c>
      <c r="G3" s="4" t="s">
        <v>18</v>
      </c>
      <c r="H3" s="4" t="s">
        <v>9</v>
      </c>
      <c r="I3" s="4" t="s">
        <v>18</v>
      </c>
      <c r="J3" s="4" t="s">
        <v>9</v>
      </c>
      <c r="K3" s="5" t="s">
        <v>18</v>
      </c>
    </row>
    <row r="4" spans="1:11" ht="16.8" x14ac:dyDescent="0.3">
      <c r="A4" s="8" t="s">
        <v>4</v>
      </c>
      <c r="B4" s="6">
        <f>'Sprint 1'!$D$8</f>
        <v>40</v>
      </c>
      <c r="C4" s="6">
        <f>'Sprint 1'!$E$8</f>
        <v>42.8</v>
      </c>
      <c r="D4" s="6">
        <f>'Sprint 1'!$D$9</f>
        <v>40</v>
      </c>
      <c r="E4" s="6">
        <f ca="1">'Sprint 1'!$E$9</f>
        <v>40.799999999999997</v>
      </c>
      <c r="F4" s="6">
        <f>'Sprint 1'!$D$10</f>
        <v>28</v>
      </c>
      <c r="G4" s="6">
        <f>'Sprint 1'!$E$10</f>
        <v>29.8</v>
      </c>
      <c r="H4" s="6">
        <f>'Sprint 1'!$D$11</f>
        <v>38</v>
      </c>
      <c r="I4" s="6">
        <f>'Sprint 1'!$E$11</f>
        <v>35.799999999999997</v>
      </c>
      <c r="J4" s="6">
        <f>'Sprint 1'!$D$12</f>
        <v>28</v>
      </c>
      <c r="K4" s="6">
        <f>'Sprint 1'!$E$12</f>
        <v>28.8</v>
      </c>
    </row>
    <row r="5" spans="1:11" ht="16.8" x14ac:dyDescent="0.3">
      <c r="A5" s="8" t="s">
        <v>14</v>
      </c>
      <c r="B5" s="6">
        <f>'Sprint 2'!$D$8</f>
        <v>0</v>
      </c>
      <c r="C5" s="6">
        <f>'Sprint 2'!$E$8</f>
        <v>42.8</v>
      </c>
      <c r="D5" s="6">
        <f>'Sprint 2'!$D$9</f>
        <v>0</v>
      </c>
      <c r="E5" s="6">
        <f ca="1">'Sprint 2'!$E$9</f>
        <v>40.799999999999997</v>
      </c>
      <c r="F5" s="6">
        <f>'Sprint 2'!$D$10</f>
        <v>0</v>
      </c>
      <c r="G5" s="6">
        <f>'Sprint 2'!$E$10</f>
        <v>29.8</v>
      </c>
      <c r="H5" s="6">
        <f>'Sprint 2'!$D$11</f>
        <v>0</v>
      </c>
      <c r="I5" s="6">
        <f>'Sprint 2'!$E$11</f>
        <v>35.799999999999997</v>
      </c>
      <c r="J5" s="6">
        <f>'Sprint 2'!$D$12</f>
        <v>0</v>
      </c>
      <c r="K5" s="6">
        <f>'Sprint 2'!$E$12</f>
        <v>28.8</v>
      </c>
    </row>
    <row r="6" spans="1:11" ht="16.8" x14ac:dyDescent="0.3">
      <c r="A6" s="8" t="s">
        <v>15</v>
      </c>
      <c r="B6" s="6">
        <f>'Sprint 3'!$D$8</f>
        <v>0</v>
      </c>
      <c r="C6" s="6">
        <f>'Sprint 3'!$E$8</f>
        <v>42.8</v>
      </c>
      <c r="D6" s="6">
        <f>'Sprint 3'!$D$9</f>
        <v>0</v>
      </c>
      <c r="E6" s="6">
        <f ca="1">'Sprint 3'!$E$9</f>
        <v>40.799999999999997</v>
      </c>
      <c r="F6" s="6">
        <f>'Sprint 3'!$D$10</f>
        <v>0</v>
      </c>
      <c r="G6" s="6">
        <f>'Sprint 3'!$E$10</f>
        <v>29.8</v>
      </c>
      <c r="H6" s="6">
        <f>'Sprint 3'!$D$11</f>
        <v>0</v>
      </c>
      <c r="I6" s="6">
        <f>'Sprint 3'!$E$11</f>
        <v>35.799999999999997</v>
      </c>
      <c r="J6" s="6">
        <f>'Sprint 3'!$D$12</f>
        <v>0</v>
      </c>
      <c r="K6" s="6">
        <f>'Sprint 3'!$E$12</f>
        <v>28.8</v>
      </c>
    </row>
    <row r="7" spans="1:11" ht="17.399999999999999" thickBot="1" x14ac:dyDescent="0.35">
      <c r="A7" s="9" t="s">
        <v>10</v>
      </c>
      <c r="B7" s="7">
        <f>SUM(B4:B6)</f>
        <v>40</v>
      </c>
      <c r="C7" s="7">
        <f t="shared" ref="C7:K7" si="0">SUM(C4:C6)</f>
        <v>128.39999999999998</v>
      </c>
      <c r="D7" s="7">
        <f t="shared" si="0"/>
        <v>40</v>
      </c>
      <c r="E7" s="7">
        <f t="shared" ca="1" si="0"/>
        <v>122.39999999999999</v>
      </c>
      <c r="F7" s="7">
        <f t="shared" si="0"/>
        <v>28</v>
      </c>
      <c r="G7" s="7">
        <f t="shared" si="0"/>
        <v>89.4</v>
      </c>
      <c r="H7" s="7">
        <f t="shared" si="0"/>
        <v>38</v>
      </c>
      <c r="I7" s="7">
        <f t="shared" si="0"/>
        <v>107.39999999999999</v>
      </c>
      <c r="J7" s="7">
        <f t="shared" si="0"/>
        <v>28</v>
      </c>
      <c r="K7" s="7">
        <f t="shared" si="0"/>
        <v>86.4</v>
      </c>
    </row>
    <row r="9" spans="1:11" ht="15" thickBot="1" x14ac:dyDescent="0.35"/>
    <row r="10" spans="1:11" ht="16.8" x14ac:dyDescent="0.3">
      <c r="E10" s="103" t="s">
        <v>20</v>
      </c>
      <c r="F10" s="104"/>
    </row>
    <row r="11" spans="1:11" ht="16.8" x14ac:dyDescent="0.3">
      <c r="E11" s="10" t="s">
        <v>9</v>
      </c>
      <c r="F11" s="11">
        <f>SUMIF($B$3:$K$3,"Thực tế",$B$7:$K$7)</f>
        <v>174</v>
      </c>
    </row>
    <row r="12" spans="1:11" ht="17.399999999999999" thickBot="1" x14ac:dyDescent="0.35">
      <c r="E12" s="12" t="s">
        <v>18</v>
      </c>
      <c r="F12" s="13">
        <f ca="1">SUMIF($B$3:$K$3,"Ước tính",$B$7:$K$7)</f>
        <v>533.99999999999989</v>
      </c>
    </row>
  </sheetData>
  <mergeCells count="8">
    <mergeCell ref="E10:F10"/>
    <mergeCell ref="A1:K1"/>
    <mergeCell ref="A2:A3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1</vt:lpstr>
      <vt:lpstr>Sprint 2</vt:lpstr>
      <vt:lpstr>Sprint 3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tran hung</cp:lastModifiedBy>
  <dcterms:created xsi:type="dcterms:W3CDTF">2021-04-23T08:05:10Z</dcterms:created>
  <dcterms:modified xsi:type="dcterms:W3CDTF">2026-04-10T09:45:23Z</dcterms:modified>
</cp:coreProperties>
</file>