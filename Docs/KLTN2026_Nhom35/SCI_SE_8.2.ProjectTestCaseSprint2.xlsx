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https://d.docs.live.net/992d563495b9917d/KLTN2026_Nhom35/"/>
    </mc:Choice>
  </mc:AlternateContent>
  <xr:revisionPtr revIDLastSave="780" documentId="11_F25DC773A252ABDACC10486579DB66605ADE58E6" xr6:coauthVersionLast="47" xr6:coauthVersionMax="47" xr10:uidLastSave="{7313B66C-7AFD-4974-A64D-3287DDA63FAA}"/>
  <bookViews>
    <workbookView xWindow="-108" yWindow="-108" windowWidth="23256" windowHeight="13176" activeTab="4" xr2:uid="{00000000-000D-0000-FFFF-FFFF00000000}"/>
  </bookViews>
  <sheets>
    <sheet name="Trường hợp kiểm thử" sheetId="1" r:id="rId1"/>
    <sheet name="Hồ sơ y tế" sheetId="2" r:id="rId2"/>
    <sheet name="Dự báo CLKK" sheetId="11" r:id="rId3"/>
    <sheet name="Tìm đường" sheetId="3" r:id="rId4"/>
    <sheet name="Địa điểm quan tâm" sheetId="4" r:id="rId5"/>
    <sheet name="Thiết lập cảnh báo" sheetId="5" r:id="rId6"/>
    <sheet name="Nhận thông báo" sheetId="6" r:id="rId7"/>
    <sheet name="Đăng ký gói PRO" sheetId="7" r:id="rId8"/>
    <sheet name="Thanh toán" sheetId="12" r:id="rId9"/>
    <sheet name="Liên hệ" sheetId="9" r:id="rId10"/>
    <sheet name="Quản lý Liên hệ" sheetId="8" r:id="rId11"/>
    <sheet name="Khuyến nghị sức khỏe" sheetId="10" r:id="rId1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1" i="1" l="1"/>
  <c r="D24" i="1"/>
  <c r="L21" i="1"/>
  <c r="K21" i="1"/>
  <c r="J21" i="1"/>
  <c r="I21" i="1"/>
  <c r="H21" i="1"/>
  <c r="G21" i="1"/>
  <c r="F21" i="1"/>
  <c r="E21" i="1"/>
  <c r="D21" i="1"/>
  <c r="D23" i="1" s="1"/>
  <c r="P20" i="1"/>
  <c r="O20" i="1"/>
  <c r="N20" i="1"/>
  <c r="M20" i="1"/>
  <c r="P19" i="1"/>
  <c r="O19" i="1"/>
  <c r="N19" i="1"/>
  <c r="M19" i="1"/>
  <c r="P18" i="1"/>
  <c r="O18" i="1"/>
  <c r="N18" i="1"/>
  <c r="M18" i="1"/>
  <c r="P17" i="1"/>
  <c r="O17" i="1"/>
  <c r="N17" i="1"/>
  <c r="M17" i="1"/>
  <c r="P16" i="1"/>
  <c r="O16" i="1"/>
  <c r="N16" i="1"/>
  <c r="N21" i="1" s="1"/>
  <c r="M16" i="1"/>
  <c r="P15" i="1"/>
  <c r="O15" i="1"/>
  <c r="N15" i="1"/>
  <c r="M15" i="1"/>
  <c r="P14" i="1"/>
  <c r="O14" i="1"/>
  <c r="N14" i="1"/>
  <c r="M14" i="1"/>
  <c r="P13" i="1"/>
  <c r="O13" i="1"/>
  <c r="N13" i="1"/>
  <c r="M13" i="1"/>
  <c r="P12" i="1"/>
  <c r="O12" i="1"/>
  <c r="N12" i="1"/>
  <c r="M12" i="1"/>
  <c r="P11" i="1"/>
  <c r="P21" i="1" s="1"/>
  <c r="O11" i="1"/>
  <c r="N11" i="1"/>
  <c r="M11" i="1"/>
  <c r="P10" i="1"/>
  <c r="O10" i="1"/>
  <c r="N10" i="1"/>
  <c r="M10" i="1"/>
  <c r="F5" i="10"/>
  <c r="F4" i="10"/>
  <c r="F5" i="12"/>
  <c r="F4" i="12"/>
  <c r="F5" i="7"/>
  <c r="F4" i="7"/>
  <c r="F5" i="6"/>
  <c r="F4" i="6"/>
  <c r="F5" i="5"/>
  <c r="F4" i="5"/>
  <c r="F5" i="9"/>
  <c r="F4" i="9"/>
  <c r="F5" i="8"/>
  <c r="F4" i="8"/>
  <c r="F5" i="4"/>
  <c r="F4" i="4"/>
  <c r="F5" i="3"/>
  <c r="F4" i="3"/>
  <c r="F5" i="2"/>
  <c r="F4" i="2"/>
  <c r="C23" i="1" l="1"/>
  <c r="C24" i="1"/>
  <c r="M21" i="1"/>
  <c r="O21" i="1"/>
</calcChain>
</file>

<file path=xl/sharedStrings.xml><?xml version="1.0" encoding="utf-8"?>
<sst xmlns="http://schemas.openxmlformats.org/spreadsheetml/2006/main" count="2216" uniqueCount="1129">
  <si>
    <t>Tên dự án</t>
  </si>
  <si>
    <t>ỨNG DỤNG AI XÂY DỰNG HỆ THỐNG GIÁM SÁT VÀ DỰ BÁO CHẤT LƯỢNG KHÔNG KHÍ</t>
  </si>
  <si>
    <t>STT</t>
  </si>
  <si>
    <t>Mô tả</t>
  </si>
  <si>
    <t>Project Name</t>
  </si>
  <si>
    <t>Module Code</t>
  </si>
  <si>
    <t>Hoàn thành</t>
  </si>
  <si>
    <t>Lỗi</t>
  </si>
  <si>
    <t>Chưa kiểm tra</t>
  </si>
  <si>
    <t>Bị chăn</t>
  </si>
  <si>
    <t>Tổng số trường hợp thử nghiệm</t>
  </si>
  <si>
    <t>Round 1</t>
  </si>
  <si>
    <t>Round 2</t>
  </si>
  <si>
    <t>Test Case ID</t>
  </si>
  <si>
    <t>Hành động</t>
  </si>
  <si>
    <t>Điều kiện tiên quyết</t>
  </si>
  <si>
    <t>Kết quả mong đợi</t>
  </si>
  <si>
    <t>Kết quả thực tế</t>
  </si>
  <si>
    <t>Kết quả</t>
  </si>
  <si>
    <t>Chú thích</t>
  </si>
  <si>
    <t>Vòng 1</t>
  </si>
  <si>
    <t>Trạng thái</t>
  </si>
  <si>
    <t>Ngày kiểm tra</t>
  </si>
  <si>
    <t>Người kiểm tra</t>
  </si>
  <si>
    <t>Pass</t>
  </si>
  <si>
    <t>GUI_PH01</t>
  </si>
  <si>
    <t>GUI_PH02</t>
  </si>
  <si>
    <t>GUI_PH03</t>
  </si>
  <si>
    <t>GUI_PH04</t>
  </si>
  <si>
    <t>GUI_PH05</t>
  </si>
  <si>
    <t>Lưu hồ sơ thành công</t>
  </si>
  <si>
    <t>GUI_PH06</t>
  </si>
  <si>
    <t>GUI_PH07</t>
  </si>
  <si>
    <t>GUI_PH08</t>
  </si>
  <si>
    <t>GUI_PH09</t>
  </si>
  <si>
    <t>GUI_PH10</t>
  </si>
  <si>
    <t>GUI_PH11</t>
  </si>
  <si>
    <t>GUI_PH12</t>
  </si>
  <si>
    <t>GUI_PH13</t>
  </si>
  <si>
    <t>GUI_PH14</t>
  </si>
  <si>
    <t>Đổi mật khẩu thành công</t>
  </si>
  <si>
    <t>GUI_CT01</t>
  </si>
  <si>
    <t>Tiêu đề và mô tả trang</t>
  </si>
  <si>
    <t>Nhìn đầu trang</t>
  </si>
  <si>
    <t>GUI_CT02</t>
  </si>
  <si>
    <t>3 thẻ thông tin liên lạc</t>
  </si>
  <si>
    <t>Nhìn dãy thẻ trên cùng</t>
  </si>
  <si>
    <t>3 thẻ, mỗi thẻ có biểu tượng, tiêu đề, giá trị xanh lá và dòng mô tả nhỏ:</t>
  </si>
  <si>
    <t>support@ecoair.vn</t>
  </si>
  <si>
    <t>GUI_CT03</t>
  </si>
  <si>
    <t>Panel "Tư vấn nhanh" bên trái</t>
  </si>
  <si>
    <t>Nhìn vào cột xanh bên trái form</t>
  </si>
  <si>
    <t>Card nền xanh đậm với 3 ô thông tin: Thời gian phản hồi, Hỗ trợ ưu tiên, Khung giờ hỗ trợ.</t>
  </si>
  <si>
    <t>GUI_CT04</t>
  </si>
  <si>
    <t>Form gửi yêu cầu</t>
  </si>
  <si>
    <t>Nhìn vào form bên phải</t>
  </si>
  <si>
    <t>GUI_CT05</t>
  </si>
  <si>
    <t>Các trường bắt buộc</t>
  </si>
  <si>
    <t>Nhìn các ô nhập</t>
  </si>
  <si>
    <t>Tất cả 4 trường đều bắt buộc (required).</t>
  </si>
  <si>
    <t>GUI_CT06</t>
  </si>
  <si>
    <t>Nút gửi</t>
  </si>
  <si>
    <t>Nhìn nút bên dưới form</t>
  </si>
  <si>
    <t>FUNC_CT01</t>
  </si>
  <si>
    <t>Gửi form khi bỏ trống họ tên</t>
  </si>
  <si>
    <t>FUNC_CT02</t>
  </si>
  <si>
    <t>Gửi form khi bỏ trống email</t>
  </si>
  <si>
    <t>Trình duyệt chặn với thông báo bắt buộc.</t>
  </si>
  <si>
    <t>FUNC_CT03</t>
  </si>
  <si>
    <t>Gửi email sai định dạng</t>
  </si>
  <si>
    <t>FUNC_CT04</t>
  </si>
  <si>
    <t>Gửi form khi bỏ trống tiêu đề</t>
  </si>
  <si>
    <t>FUNC_CT05</t>
  </si>
  <si>
    <t>Gửi form khi bỏ trống nội dung</t>
  </si>
  <si>
    <t>FUNC_CT06</t>
  </si>
  <si>
    <t>Gửi thành công khi điền đầy đủ</t>
  </si>
  <si>
    <t>FUNC_CT07</t>
  </si>
  <si>
    <t>Email xác nhận tự động gửi về cho người dùng</t>
  </si>
  <si>
    <t>Gửi form thành công rồi kiểm tra hòm thư</t>
  </si>
  <si>
    <t>Máy chủ email đang hoạt động</t>
  </si>
  <si>
    <t>FUNC_CT08</t>
  </si>
  <si>
    <t>Banner thành công biến mất khi nhập lại</t>
  </si>
  <si>
    <t>Banner thành công biến mất ngay khi người dùng bắt đầu nhập nội dung mới.</t>
  </si>
  <si>
    <t>FUNC_CT09</t>
  </si>
  <si>
    <t>Gửi khi mất kết nối mạng</t>
  </si>
  <si>
    <t>Gửi form khi bỏ trống 1 trường bắt buộc</t>
  </si>
  <si>
    <t>Gửi email sai cú pháp</t>
  </si>
  <si>
    <t>Nội dung vượt giới hạn ký tự</t>
  </si>
  <si>
    <t>Gọi POST /api/contact với body thiếu fullName</t>
  </si>
  <si>
    <t>Gọi API với email: "notanemail"</t>
  </si>
  <si>
    <t>Gọi API với message dài hơn 1000 ký tự</t>
  </si>
  <si>
    <t>Nhấn Gửi liên hệ khi ô "Họ và tên" trống</t>
  </si>
  <si>
    <t>Nhấn Gửi liên hệ khi ô "Email" trống</t>
  </si>
  <si>
    <t>Nhập abcxyz vào ô Email rồi nhấn Gửi</t>
  </si>
  <si>
    <t>Nhấn Gửi liên hệ khi ô "Tiêu đề" trống</t>
  </si>
  <si>
    <t>Nhấn Gửi liên hệ khi ô "Nội dung" trống</t>
  </si>
  <si>
    <t>Nhấn Gửi trong khi mạng bị rớt</t>
  </si>
  <si>
    <t>Nhãn nhỏ "ECOAIR SUPPORT" màu xanh lá; tiêu đề lớn "Liên hệ với đội ngũ EcoAir"; dòng mô tả bên dưới.</t>
  </si>
  <si>
    <t>Form có tiêu đề "Gửi yêu cầu hỗ trợ" và 4 trường: Họ và tên, Email, Tiêu đề, Nội dung.</t>
  </si>
  <si>
    <t>Nút full-width "Gửi liên hệ" nền xanh lá chuyển màu.</t>
  </si>
  <si>
    <t>Trình duyệt chặn với thông báo "Vui lòng nhập địa chỉ email hợp lệ."</t>
  </si>
  <si>
    <t>Nút đổi thành "Đang gửi..." và bị khóa trong lúc chờ. Sau đó hiện banner xanh: "Cảm ơn bạn đã liên hệ. EcoAir sẽ phản hồi sớm nhất có thể qua email của bạn." Form tự xóa sạch về trống.</t>
  </si>
  <si>
    <t>Hòm thư của địa chỉ email đã điền nhận được email xác nhận từ EcoAir với tiêu đề "Đã nhận: [tiêu đề đã điền]".</t>
  </si>
  <si>
    <t>Cửa sổ thông báo lỗi: "Lỗi kết nối đến máy chủ. Vui lòng thử lại."</t>
  </si>
  <si>
    <t>Email hỗ trợ - </t>
  </si>
  <si>
    <t>Tổng đài - 1900 6789</t>
  </si>
  <si>
    <t>Văn phòng - TP. Thủ Đức</t>
  </si>
  <si>
    <t>Trình duyệt chặn, hiển thị yêu cầu điền vào trường bắt buộc - form không được gửi.</t>
  </si>
  <si>
    <t>HTTP 400 - Thông tin lỗi validation chi tiết các trường còn thiếu.</t>
  </si>
  <si>
    <t>HTTP 400 - Xác thực định dạng email thất bại.</t>
  </si>
  <si>
    <t>HTTP 400 - Nội dung quá giới hạn cho phép.</t>
  </si>
  <si>
    <t>Điền cả 4 trường hợp lệ -&gt; nhấn Gửi liên hệ</t>
  </si>
  <si>
    <t>Hiện banner xanh -&gt; bắt đầu gõ vào bất kỳ ô nào</t>
  </si>
  <si>
    <t>FUNC_CT10</t>
  </si>
  <si>
    <t>FUNC_CT11</t>
  </si>
  <si>
    <t>FUNC_CT12</t>
  </si>
  <si>
    <t>GUI_SHOW LIÊN HỆ</t>
  </si>
  <si>
    <t>FUNCTION_SHOW LIÊN HỆ</t>
  </si>
  <si>
    <t>Liên hệ</t>
  </si>
  <si>
    <t>UI_CM01</t>
  </si>
  <si>
    <t>Tiêu đề và mô tả trang admin</t>
  </si>
  <si>
    <t>GUI_CM02</t>
  </si>
  <si>
    <t>Bộ lọc trạng thái</t>
  </si>
  <si>
    <t>Nhìn vào ô chọn góc trên phải</t>
  </si>
  <si>
    <t>GUI_CM03</t>
  </si>
  <si>
    <t>Ô tìm kiếm</t>
  </si>
  <si>
    <t>Nhìn ô tìm kiếm</t>
  </si>
  <si>
    <t>GUI_CM04</t>
  </si>
  <si>
    <t>4 thẻ thống kê</t>
  </si>
  <si>
    <t>Nhìn dãy thẻ số liệu</t>
  </si>
  <si>
    <t>GUI_CM05</t>
  </si>
  <si>
    <t>Tiêu đề cột bảng</t>
  </si>
  <si>
    <t>Nhìn hàng tiêu đề bảng</t>
  </si>
  <si>
    <t>GUI_CM06</t>
  </si>
  <si>
    <t>Màu sắc nhãn trạng thái trong bảng</t>
  </si>
  <si>
    <t>Nhìn cột Trạng thái</t>
  </si>
  <si>
    <t>GUI_CM07</t>
  </si>
  <si>
    <t>Các nút thao tác trong bảng</t>
  </si>
  <si>
    <t>Nhìn cột Thao tác</t>
  </si>
  <si>
    <t>GUI_CM08</t>
  </si>
  <si>
    <t>Thông báo khi không có dữ liệu</t>
  </si>
  <si>
    <t>Xem bảng khi lọc không ra kết quả</t>
  </si>
  <si>
    <t>GUI_CM09</t>
  </si>
  <si>
    <t>Tiêu đề cột bị cắt nếu quá dài</t>
  </si>
  <si>
    <t>Nhìn cột Tiêu đề khi tiêu đề rất dài</t>
  </si>
  <si>
    <t>GUI_CM10</t>
  </si>
  <si>
    <t>Cửa sổ chi tiết (Modal)</t>
  </si>
  <si>
    <t>GUI_CM11</t>
  </si>
  <si>
    <t>Phần phản hồi trong Modal (khi chưa giải quyết)</t>
  </si>
  <si>
    <t>Liên hệ chưa giải quyết</t>
  </si>
  <si>
    <t>GUI_CM12</t>
  </si>
  <si>
    <t>Ẩn phần phản hồi khi đã giải quyết</t>
  </si>
  <si>
    <t>Liên hệ đã giải quyết</t>
  </si>
  <si>
    <t>FUNC_CM01</t>
  </si>
  <si>
    <t>Tự tải dữ liệu khi vào trang</t>
  </si>
  <si>
    <t>Mở trang quản lý liên hệ</t>
  </si>
  <si>
    <t>Đăng nhập Admin</t>
  </si>
  <si>
    <t>Trang tự gọi API danh sách và API thống kê; bảng và 4 thẻ số liệu được điền đầy đủ.</t>
  </si>
  <si>
    <t>FUNC_CM02</t>
  </si>
  <si>
    <t>Nút Làm mới tải lại dữ liệu</t>
  </si>
  <si>
    <t>Bảng và thẻ số liệu được tải lại với dữ liệu mới nhất từ máy chủ.</t>
  </si>
  <si>
    <t>FUNC_CM03</t>
  </si>
  <si>
    <t>Lọc theo trạng thái</t>
  </si>
  <si>
    <t>FUNC_CM04</t>
  </si>
  <si>
    <t>Tìm kiếm theo tên</t>
  </si>
  <si>
    <t>Gõ tên vào ô tìm kiếm</t>
  </si>
  <si>
    <t>Bảng lọc ngay những liên hệ có họ tên khớp từ khóa.</t>
  </si>
  <si>
    <t>FUNC_CM05</t>
  </si>
  <si>
    <t>Tìm kiếm theo email</t>
  </si>
  <si>
    <t>Gõ địa chỉ email vào ô tìm kiếm</t>
  </si>
  <si>
    <t>Bảng hiển thị liên hệ từ email đó.</t>
  </si>
  <si>
    <t>FUNC_CM06</t>
  </si>
  <si>
    <t>Tìm kiếm theo tiêu đề</t>
  </si>
  <si>
    <t>Gõ 1 phần tiêu đề vào ô tìm kiếm</t>
  </si>
  <si>
    <t>Bảng hiển thị liên hệ có tiêu đề chứa từ khóa.</t>
  </si>
  <si>
    <t>FUNC_CM07</t>
  </si>
  <si>
    <t>Kết hợp lọc trạng thái + tìm kiếm</t>
  </si>
  <si>
    <t>FUNC_CM08</t>
  </si>
  <si>
    <t>Mở cửa sổ Chi tiết</t>
  </si>
  <si>
    <t>Modal Chi tiết mở; nền phía sau tối lại.</t>
  </si>
  <si>
    <t>FUNC_CM09</t>
  </si>
  <si>
    <t>Đóng cửa sổ Chi tiết</t>
  </si>
  <si>
    <t>Nhấn nút ✖ trong Modal</t>
  </si>
  <si>
    <t>Modal đóng lại, trả về bảng danh sách.</t>
  </si>
  <si>
    <t>FUNC_CM10</t>
  </si>
  <si>
    <t>Đổi trạng thái trong Modal</t>
  </si>
  <si>
    <t>Hệ thống gọi API cập nhật trạng thái; bảng danh sách tải lại phản ánh trạng thái mới.</t>
  </si>
  <si>
    <t>FUNC_CM11</t>
  </si>
  <si>
    <t>Gửi email phản hồi từ Modal</t>
  </si>
  <si>
    <t>FUNC_CM12</t>
  </si>
  <si>
    <t>Email phản hồi đến hòm thư người dùng</t>
  </si>
  <si>
    <t>Gửi phản hồi thành công</t>
  </si>
  <si>
    <t>FUNC_CM13</t>
  </si>
  <si>
    <t>Phần soạn thảo ẩn sau khi đã phản hồi</t>
  </si>
  <si>
    <t>Mở lại Chi tiết của liên hệ vừa được phản hồi</t>
  </si>
  <si>
    <t>Không còn ô soạn thảo; thay bằng banner xanh xác nhận đã giải quyết.</t>
  </si>
  <si>
    <t>FUNC_CM14</t>
  </si>
  <si>
    <t>Không phản hồi khi nội dung trống</t>
  </si>
  <si>
    <t>FUNC_CM15</t>
  </si>
  <si>
    <t>Xóa liên hệ</t>
  </si>
  <si>
    <t>Liên hệ biến khỏi bảng; thẻ thống kê giảm 1 sau khi tải lại.</t>
  </si>
  <si>
    <t>FUNC_CM16</t>
  </si>
  <si>
    <t>Hủy xóa</t>
  </si>
  <si>
    <t>Không có thay đổi; liên hệ vẫn còn trong bảng.</t>
  </si>
  <si>
    <t>Từ chối truy cập với tài khoản thường</t>
  </si>
  <si>
    <t>Phản hồi với nội dung trống</t>
  </si>
  <si>
    <t>Phản hồi liên hệ đã giải quyết</t>
  </si>
  <si>
    <t>Thao tác với liên hệ không tồn tại</t>
  </si>
  <si>
    <t>Xóa liên hệ không tồn tại</t>
  </si>
  <si>
    <t>Gọi GET /api/contact với token User thường</t>
  </si>
  <si>
    <t>Gọi POST /api/contact/{id}/reply với replyMessage: ""</t>
  </si>
  <si>
    <t>Gọi POST /api/contact/{id}/reply lần 2 cho liên hệ đã Resolved</t>
  </si>
  <si>
    <t>Gọi GET, PUT, POST reply, hoặc DELETE với ID không có trong hệ thống</t>
  </si>
  <si>
    <t>Gọi DELETE /api/contact/{id} với ID không có</t>
  </si>
  <si>
    <t>Nội dung bị cắt ngắn với dấu ba chấm ..., không bị tràn ra ngoài ô.</t>
  </si>
  <si>
    <t>Dropdown gồm: Tất cả trạng thái, Chờ xử lý, Đang xử lý, Đã giải quyết.</t>
  </si>
  <si>
    <t>4 thẻ: Tổng số liên hệ (badge xanh dương), Chờ xử lý (đỏ), Đang xử lý (cam), Đã giải quyết (xanh lá).</t>
  </si>
  <si>
    <t>6 cột: Họ tên, Email, Tiêu đề, Ngày gửi, Trạng thái, Thao tác.</t>
  </si>
  <si>
    <t>Mỗi hàng có 2 nút: Chi tiết (xanh dương) và Xóa (đỏ).</t>
  </si>
  <si>
    <t>Nhấn nút Chi tiết trên 1 hàng</t>
  </si>
  <si>
    <t>Nhấn nút Làm mới</t>
  </si>
  <si>
    <t>Bảng chỉ hiển thị liên hệ có trạng thái Chờ xử lý.</t>
  </si>
  <si>
    <t>Nhấn Chi tiết trên bất kỳ hàng nào</t>
  </si>
  <si>
    <t>Nhấn Gửi phản hồi khi ô soạn thảo trống</t>
  </si>
  <si>
    <t>HTTP 403 Forbidden.</t>
  </si>
  <si>
    <t>Tiêu đề "Hộp thư Liên hệ" và dòng phụ "Quản lý, tìm kiếm và phản hồi yêu cầu từ người dùng."</t>
  </si>
  <si>
    <t>Ô nhập với gợi ý "Tìm kiếm tên, email, tiêu đề..." và nút Làm mới bên cạnh.</t>
  </si>
  <si>
    <t>Một dòng giữa bảng ghi "Không có dữ liệu liên hệ".</t>
  </si>
  <si>
    <t>Mở Chi tiết của liên hệ Chờ hoặc Đang xử lý</t>
  </si>
  <si>
    <t>Phần "Phản hồi &amp; Giải quyết" hiển thị ô soạn thảo và nút "Gửi phản hồi email &amp; Đóng" màu xanh lá.</t>
  </si>
  <si>
    <t>Mở Chi tiết của liên hệ Đã giải quyết</t>
  </si>
  <si>
    <t>Phần soạn thảo ẩn hoàn toàn; thay vào đó hiện banner xanh "Yêu cầu này đã được đánh dấu là 'Đã giải quyết'."</t>
  </si>
  <si>
    <t>Chọn "Chờ xử lý" trong dropdown</t>
  </si>
  <si>
    <t>Chọn "Đang xử lý" + gõ từ khóa vào ô tìm</t>
  </si>
  <si>
    <t>Bảng chỉ hiện liên hệ vừa ở trạng thái Đang xử lý vừa khớp từ khóa.</t>
  </si>
  <si>
    <t>Nút đổi thành "Đang gửi Email..." và bị khóa. Sau khi thành công: thông báo "Gửi phản hồi thành công và đã cập nhật trạng thái thành Đã giải quyết!", Modal đóng, bảng tải lại.</t>
  </si>
  <si>
    <t>Người dùng nhận được email với tiêu đề "Phản hồi từ EcoAir: [tiêu đề gốc]" và nội dung đã soạn trong Modal.</t>
  </si>
  <si>
    <t>Modal xuất hiện giữa màn hình với tiêu đề "Chi tiết Liên hệ", nút X đóng góc trên phải, thông tin đầy đủ: người gửi, ngày gửi, tiêu đề, trạng thái có thể chỉnh, nội dung tin nhắn.</t>
  </si>
  <si>
    <t>Mở Chi tiết -&gt; chọn trạng thái mới trong dropdown</t>
  </si>
  <si>
    <t>Mở Chi tiết -&gt; nhập nội dung -&gt; nhấn Gửi phản hồi email &amp; Đóng</t>
  </si>
  <si>
    <t>Nhấn Xóa trên 1 hàng -&gt; nhấn OK trong hộp thoại xác nhận</t>
  </si>
  <si>
    <t>Nhấn Xóa -&gt; nhấn Cancel trong hộp thoại</t>
  </si>
  <si>
    <t>Chờ xử lý - chữ đỏ, nền đỏ nhạt. Đang xử lý - chữ cam, nền cam nhạt. Đã giải quyết - chữ xanh lá, nền xanh nhạt.</t>
  </si>
  <si>
    <t>Cảnh báo "Vui lòng nhập nội dung" - không gọi API.</t>
  </si>
  <si>
    <t>HTTP 400 - "Nội dung phản hồi không được để trống."</t>
  </si>
  <si>
    <t>HTTP 400 - "Liên hệ này đã được phản hồi."</t>
  </si>
  <si>
    <t>HTTP 404 - "Không tìm thấy liên hệ."</t>
  </si>
  <si>
    <t>FUNC_CM17</t>
  </si>
  <si>
    <t>FUNC_CM18</t>
  </si>
  <si>
    <t>FUNC_CM19</t>
  </si>
  <si>
    <t>FUNC_CM20</t>
  </si>
  <si>
    <t>FUNC_CM21</t>
  </si>
  <si>
    <t>GUI_TG01</t>
  </si>
  <si>
    <t>Card hướng dẫn cấu hình</t>
  </si>
  <si>
    <t>GUI_TG02</t>
  </si>
  <si>
    <t>Trạng thái thu gọn mặc định</t>
  </si>
  <si>
    <t>Nhìn các bước khi vào trang</t>
  </si>
  <si>
    <t>GUI_TG03</t>
  </si>
  <si>
    <t>Card kết nối Telegram</t>
  </si>
  <si>
    <t>GUI_TG04</t>
  </si>
  <si>
    <t>Trạng thái chưa kết nối</t>
  </si>
  <si>
    <t>Nhìn card kết nối khi chưa liên kết</t>
  </si>
  <si>
    <t>Telegram chưa được liên kết</t>
  </si>
  <si>
    <t>GUI_TG05</t>
  </si>
  <si>
    <t>Trạng thái đã kết nối</t>
  </si>
  <si>
    <t>Nhìn card sau khi đã lưu Chat ID thành công</t>
  </si>
  <si>
    <t>Đã kết nối Telegram</t>
  </si>
  <si>
    <t>GUI_TG06</t>
  </si>
  <si>
    <t>Card lịch sử thông báo (trống)</t>
  </si>
  <si>
    <t>Chưa có thông báo nào</t>
  </si>
  <si>
    <t>GUI_TG07</t>
  </si>
  <si>
    <t>Card lịch sử có nội dung</t>
  </si>
  <si>
    <t>Nhìn card lịch sử sau khi đã nhận thông báo</t>
  </si>
  <si>
    <t>Có lịch sử thông báo</t>
  </si>
  <si>
    <t>Hiển thị tối đa 10 mục, mỗi mục gồm: chấm xanh (gửi thành công) hoặc đỏ (lỗi), nội dung tin nhắn ngắn, ngày giờ gửi (định dạng VN).</t>
  </si>
  <si>
    <t>UNC_TG01</t>
  </si>
  <si>
    <t>Mở và đóng bước hướng dẫn</t>
  </si>
  <si>
    <t>FUNC_TG02</t>
  </si>
  <si>
    <t>Chỉ mở một bước cùng lúc</t>
  </si>
  <si>
    <t>FUNC_TG03</t>
  </si>
  <si>
    <t>Lưu Chat ID thành công</t>
  </si>
  <si>
    <t>Chưa liên kết hoặc đang cập nhật</t>
  </si>
  <si>
    <t>FUNC_TG04</t>
  </si>
  <si>
    <t>Lưu Chat ID trống</t>
  </si>
  <si>
    <t>FUNC_TG05</t>
  </si>
  <si>
    <t>Cập nhật (ghi đè) Chat ID cũ</t>
  </si>
  <si>
    <t>Đã kết nối Telegram trước đó</t>
  </si>
  <si>
    <t>FUNC_TG06</t>
  </si>
  <si>
    <t>Gửi tin nhắn test thành công</t>
  </si>
  <si>
    <t>FUNC_TG07</t>
  </si>
  <si>
    <t>Gửi test khi Chat ID lỗi (sai số)</t>
  </si>
  <si>
    <t>Chat ID không đúng với tài khoản Telegram</t>
  </si>
  <si>
    <t>FUNC_TG08</t>
  </si>
  <si>
    <t>Lịch sử tự cập nhật sau gửi test</t>
  </si>
  <si>
    <t>Xem lại phần lịch sử sau khi gửi test</t>
  </si>
  <si>
    <t>Gửi test thành công</t>
  </si>
  <si>
    <t>Chặn tài khoản Free ở mọi API</t>
  </si>
  <si>
    <t>Gọi bất kỳ endpoint nào với token tài khoản Free</t>
  </si>
  <si>
    <t>Đăng nhập tài khoản Free</t>
  </si>
  <si>
    <t>Chặn khi chưa đăng nhập</t>
  </si>
  <si>
    <t>Gọi API không kèm thông tin đăng nhập</t>
  </si>
  <si>
    <t>Lấy thông tin trạng thái kết nối Telegram</t>
  </si>
  <si>
    <t>Tài khoản Pro</t>
  </si>
  <si>
    <t>Liên kết Chat ID thành công</t>
  </si>
  <si>
    <t>Liên kết Chat ID trống</t>
  </si>
  <si>
    <t>Ghi đè Chat ID cũ bằng ID mới</t>
  </si>
  <si>
    <t>Đã liên kết Telegram trước đó</t>
  </si>
  <si>
    <t>Tài khoản Pro, Chat ID hợp lệ</t>
  </si>
  <si>
    <t>Gửi test khi chưa liên kết Telegram</t>
  </si>
  <si>
    <t>Tài khoản Pro, chưa có Chat ID</t>
  </si>
  <si>
    <t>Gửi test lưu vào lịch sử</t>
  </si>
  <si>
    <t>Lịch sử giới hạn 10 mục, sắp xếp mới nhất trước</t>
  </si>
  <si>
    <t>Gọi GET /api/alert-config</t>
  </si>
  <si>
    <t>Gửi POST /api/alert-config/telegram/link với chatId = "123456789"</t>
  </si>
  <si>
    <t>Gửi POST /api/alert-config/telegram/link với chatId = ""</t>
  </si>
  <si>
    <t>Gửi POST /api/alert-config/telegram/link lần 2 với ID khác</t>
  </si>
  <si>
    <t>Gửi POST /api/alert-config/telegram/test</t>
  </si>
  <si>
    <t>Gọi GET /api/alert-config/history khi có nhiều hơn 10 thông báo</t>
  </si>
  <si>
    <t>Nhìn card "Hướng dẫn cấu hình Telegram Bot"</t>
  </si>
  <si>
    <t>Nhìn card "Kết nối Telegram"</t>
  </si>
  <si>
    <t>Nhìn card "Lịch sử thông báo gần đây"</t>
  </si>
  <si>
    <t>Chỉ hiển thị ô nhập và nút Lưu; không có dòng xác nhận kết nối bên dưới.</t>
  </si>
  <si>
    <t>Nhấn Lưu khi ô nhập trống</t>
  </si>
  <si>
    <t>Nhấn 📨 Gửi test</t>
  </si>
  <si>
    <t>HTTP 401 Unauthorized.</t>
  </si>
  <si>
    <t>Có ô nhập với gợi ý "Nhập Telegram Chat ID (ví dụ: 123456789)" và nút Lưu màu xanh dương Telegram.</t>
  </si>
  <si>
    <t>Bên dưới hiện dải xanh nhạt: "Đã kết nối Chat ID: [số ID]" và nút Gửi test màu xanh lá.</t>
  </si>
  <si>
    <t>Dòng chữ xám "Chưa có thông báo nào." căn giữa trong card.</t>
  </si>
  <si>
    <t>Mục mới "Tin nhắn test kết nối Telegram" xuất hiện ở đầu lịch sử với chấm xanh.</t>
  </si>
  <si>
    <t>Lịch sử có thêm 1 mục mới "Tin nhắn test kết nối Telegram" với status = "sent".</t>
  </si>
  <si>
    <t>Card gồm 3 bước dạng danh sách cuộn xuống (accordion): Bước 1, Bước 2, Bước 3 - mỗi bước có số thứ tự tròn và tiêu đề.</t>
  </si>
  <si>
    <t>HTTP 403 - "Tính năng này yêu cầu tài khoản Pro."</t>
  </si>
  <si>
    <t>HTTP 200 - Kết quả gồm telegramChatId (số hoặc null) và telegramConnected (true/false).</t>
  </si>
  <si>
    <t>HTTP 200 - "Đã liên kết Telegram Chat ID thành công." - CSDL ghi nhận ID mới.</t>
  </si>
  <si>
    <t>HTTP 400 - "Chat ID không được để trống."</t>
  </si>
  <si>
    <t>HTTP 200 - Chat ID trong CSDL được cập nhật thành ID mới.</t>
  </si>
  <si>
    <t>HTTP 200 - "Đã gửi tin nhắn test thành công!" - Bot gửi tin tới Telegram của người dùng.</t>
  </si>
  <si>
    <t>HTTP 400 - "Bạn chưa liên kết Telegram Chat ID."</t>
  </si>
  <si>
    <t>Tất cả 3 bước đều thu gọn (chỉ hiện tiêu đề), mũi tên hướng xuống dưới.</t>
  </si>
  <si>
    <t>Nhấn vào tiêu đề Bước 1 -&gt; nhấn lại</t>
  </si>
  <si>
    <t>Mở Bước 1 -&gt; nhấn Bước 2</t>
  </si>
  <si>
    <t>Nhập Chat ID hợp lệ -&gt; nhấn  Lưu</t>
  </si>
  <si>
    <t>Nhập Chat ID khác -&gt; nhấn Lưu</t>
  </si>
  <si>
    <t>Nhập sai Chat ID rồi Lưu -&gt; nhấn Gửi test</t>
  </si>
  <si>
    <t>Gửi test thành công -&gt; gọi GET /api/alert-config/history</t>
  </si>
  <si>
    <t>HTTP 200 - Chỉ trả về đúng 10 mục mới nhất, thứ tự từ mới -&gt; cũ.</t>
  </si>
  <si>
    <t>FUNC_TG09</t>
  </si>
  <si>
    <t>FUNC_TG10</t>
  </si>
  <si>
    <t>FUNC_TG11</t>
  </si>
  <si>
    <t>FUNC_TG12</t>
  </si>
  <si>
    <t>FUNC_TG13</t>
  </si>
  <si>
    <t>FUNC_TG14</t>
  </si>
  <si>
    <t>FUNC_TG15</t>
  </si>
  <si>
    <t>FUNC_TG16</t>
  </si>
  <si>
    <t>FUNC_TG17</t>
  </si>
  <si>
    <t>FUNC_TG18</t>
  </si>
  <si>
    <t>FUNCTION_SHOW NHẬN THÔNG BÁO</t>
  </si>
  <si>
    <t>GUI_SHOW NHẬN THÔNG BÁO</t>
  </si>
  <si>
    <t>Nhận thông báo</t>
  </si>
  <si>
    <t>Card gợi ý ngưỡng (chưa có hồ sơ)</t>
  </si>
  <si>
    <t>Chưa chọn tình trạng sức khỏe trong tab Sức khỏe</t>
  </si>
  <si>
    <t>GUI_AL02</t>
  </si>
  <si>
    <t>Card gợi ý ngưỡng (có hồ sơ)</t>
  </si>
  <si>
    <t>Nhìn card gợi ý sau khi đã cài hồ sơ sức khỏe</t>
  </si>
  <si>
    <t>GUI_AL03</t>
  </si>
  <si>
    <t>Màu AQI tương ứng với mức nguy hiểm</t>
  </si>
  <si>
    <t>Nhìn badge ngưỡng AQI trong danh sách quy tắc</t>
  </si>
  <si>
    <t>GUI_AL04</t>
  </si>
  <si>
    <t>Form thêm quy tắc</t>
  </si>
  <si>
    <t>GUI_AL05</t>
  </si>
  <si>
    <t>Gợi ý trạm khi chưa có trạm yêu thích</t>
  </si>
  <si>
    <t>Nhìn dưới form thêm quy tắc</t>
  </si>
  <si>
    <t>Không có trạm yêu thích</t>
  </si>
  <si>
    <t>GUI_AL06</t>
  </si>
  <si>
    <t>Danh sách quy tắc rỗng</t>
  </si>
  <si>
    <t>Nhìn vùng dưới form khi chưa có quy tắc</t>
  </si>
  <si>
    <t>GUI_AL07</t>
  </si>
  <si>
    <t>Cấu trúc 1 thẻ quy tắc</t>
  </si>
  <si>
    <t>Nhìn vào thẻ quy tắc bất kỳ trong danh sách</t>
  </si>
  <si>
    <t>GUI_AL08</t>
  </si>
  <si>
    <t>Màu nền thẻ khi Bật/Tắt</t>
  </si>
  <si>
    <t>Nhìn màu nền thẻ quy tắc</t>
  </si>
  <si>
    <t>FUNC_AL01</t>
  </si>
  <si>
    <t>Áp dụng ngưỡng gợi ý</t>
  </si>
  <si>
    <t>Thẻ gợi ý đang hiển thị</t>
  </si>
  <si>
    <t>Ô nhập Ngưỡng AQI trong form tự động điền số ngưỡng được gợi ý.</t>
  </si>
  <si>
    <t>FUNC_AL02</t>
  </si>
  <si>
    <t>Thêm quy tắc thành công</t>
  </si>
  <si>
    <t>Trạm hợp lệ, AQI từ 0–500</t>
  </si>
  <si>
    <t>Thông báo xanh xác nhận tạo thành công. Danh sách tự làm mới, thẻ quy tắc mới xuất hiện.</t>
  </si>
  <si>
    <t>FUNC_AL03</t>
  </si>
  <si>
    <t>Thêm quy tắc khi chưa chọn trạm</t>
  </si>
  <si>
    <t>FUNC_AL04</t>
  </si>
  <si>
    <t>Bật/tắt quy tắc bằng công tắc</t>
  </si>
  <si>
    <t>Nhấn vào thanh trượt bên trái thẻ quy tắc</t>
  </si>
  <si>
    <t>Công tắc trượt và đổi màu tức thì; màu nền thẻ và viền thay đổi theo. Danh sách tự tải lại.</t>
  </si>
  <si>
    <t>FUNC_AL05</t>
  </si>
  <si>
    <t>Xóa quy tắc sau xác nhận</t>
  </si>
  <si>
    <t>FUNC_AL06</t>
  </si>
  <si>
    <t>Hủy xóa quy tắc</t>
  </si>
  <si>
    <t>Không có thay đổi, quy tắc vẫn còn trong danh sách.</t>
  </si>
  <si>
    <t>FUNC_AL07</t>
  </si>
  <si>
    <t>Không cho thêm cùng trạm hai lần</t>
  </si>
  <si>
    <t>Thêm quy tắc cho trạm đã có trong danh sách</t>
  </si>
  <si>
    <t>Trạm đó đã được cấu hình</t>
  </si>
  <si>
    <t>FUNC_AL08</t>
  </si>
  <si>
    <t>Tự tải dữ liệu khi vào tab</t>
  </si>
  <si>
    <t>Mở tab Cảnh báo</t>
  </si>
  <si>
    <t>Tài khoản Pro, đã đăng nhập</t>
  </si>
  <si>
    <t>Hệ thống gọi cùng lúc API cấu hình và API lịch sử; toàn bộ thông tin hiện đầy đủ khi trang sẵn sàng.</t>
  </si>
  <si>
    <t>Lấy cấu hình gồm ngưỡng gợi ý theo sức khỏe</t>
  </si>
  <si>
    <t>Tài khoản Pro có hồ sơ sức khỏe</t>
  </si>
  <si>
    <t>Ngưỡng gợi ý thấp nhất: bệnh hô hấp</t>
  </si>
  <si>
    <t>GET /api/alert-config</t>
  </si>
  <si>
    <t>Ngưỡng gợi ý: bệnh tim mạch</t>
  </si>
  <si>
    <t>Ngưỡng gợi ý: nhóm dễ tổn thương</t>
  </si>
  <si>
    <t>Ngưỡng mặc định khi không có hồ sơ</t>
  </si>
  <si>
    <t>Chưa chọn bất kỳ tình trạng sức khỏe nào</t>
  </si>
  <si>
    <t>Từ chối AQI ngoài khoảng 0–500</t>
  </si>
  <si>
    <t>Từ chối trạm không tồn tại</t>
  </si>
  <si>
    <t>Từ chối thêm trùng trạm</t>
  </si>
  <si>
    <t>Đã có quy tắc cho trạm đó</t>
  </si>
  <si>
    <t>Bật/tắt quy tắc</t>
  </si>
  <si>
    <t>Có quy tắc đang bật</t>
  </si>
  <si>
    <t>Xóa quy tắc thành công</t>
  </si>
  <si>
    <t>Tài khoản Pro, quy tắc thuộc về mình</t>
  </si>
  <si>
    <t>Xóa quy tắc không tồn tại</t>
  </si>
  <si>
    <t>suggestedThresholds.aqiThreshold = 50.</t>
  </si>
  <si>
    <t>suggestedThresholds.aqiThreshold = 75.</t>
  </si>
  <si>
    <t>suggestedThresholds.aqiThreshold = 100.</t>
  </si>
  <si>
    <t>suggestedThresholds.aqiThreshold = 150.</t>
  </si>
  <si>
    <t>Gửi POST /api/alert-config với stationId hợp lệ, aqiThreshold = 100</t>
  </si>
  <si>
    <t>Gửi POST /api/alert-config với aqiThreshold = 600</t>
  </si>
  <si>
    <t>Gửi POST /api/alert-config với stationId = 99999</t>
  </si>
  <si>
    <t>Gửi POST /api/alert-config với trạm đã có quy tắc</t>
  </si>
  <si>
    <t>Gửi POST /api/alert-config với configId đã có + isActive = false</t>
  </si>
  <si>
    <t>Gọi DELETE /api/alert-config/{id} với ID hợp lệ</t>
  </si>
  <si>
    <t>Gọi DELETE /api/alert-config/99999</t>
  </si>
  <si>
    <t>Có dropdown Trạm quan trắc, ô nhập số Ngưỡng AQI và nút + Thêm màu xanh lá.</t>
  </si>
  <si>
    <t>Quy tắc đang bật: viền xanh lá, nền xanh nhạt. Quy tắc đang tắt: viền xám, nền xám nhạt.</t>
  </si>
  <si>
    <t>Dòng nhỏ màu vàng cam: "💡 Thêm trạm yêu thích ở tab 'Địa điểm' để chọn ở đây."</t>
  </si>
  <si>
    <t>Dòng xám: "Chưa có quy tắc cảnh báo nào. Thêm quy tắc đầu tiên ở trên."</t>
  </si>
  <si>
    <t>Nhấn + Thêm khi dropdown vẫn ở "Chọn trạm..."</t>
  </si>
  <si>
    <t>Hộp thoại hỏi "Bạn chắc chắn muốn xóa cấu hình cảnh báo này?". Sau khi OK: quy tắc biến khỏi danh sách.</t>
  </si>
  <si>
    <t>Thông báo lỗi: "Bạn đã có cấu hình cảnh báo cho trạm này."</t>
  </si>
  <si>
    <t>Có Hen suyễn hoặc COPD</t>
  </si>
  <si>
    <t>Có Bệnh tim mạch</t>
  </si>
  <si>
    <t>Có Trẻ nhỏ, Người cao tuổi, hoặc Phụ nữ mang thai</t>
  </si>
  <si>
    <t>Chọn trạm -&gt; nhập ngưỡng AQI -&gt; nhấn + Thêm</t>
  </si>
  <si>
    <t>Thông báo lỗi đỏ: "Vui lòng chọn trạm quan trắc." - không gọi server.</t>
  </si>
  <si>
    <t>HTTP 200 - Kết quả gồm: danh sách bệnh, ngưỡng AQI gợi ý, danh sách quy tắc, danh sách trạm yêu thích.</t>
  </si>
  <si>
    <t>HTTP 200 - "Tạo cấu hình cảnh báo thành công." + configId mới.</t>
  </si>
  <si>
    <t>HTTP 400 - "Ngưỡng AQI phải từ 0 đến 500."</t>
  </si>
  <si>
    <t>HTTP 400 - "Trạm quan trắc không tồn tại."</t>
  </si>
  <si>
    <t>HTTP 400 - "Bạn đã có cấu hình cảnh báo cho trạm này."</t>
  </si>
  <si>
    <t>HTTP 200 - "Cập nhật cấu hình cảnh báo thành công." - CSDL đổi is_active = 0.</t>
  </si>
  <si>
    <t>HTTP 200 - "Đã xóa cấu hình cảnh báo."</t>
  </si>
  <si>
    <t>HTTP 404 - "Không tìm thấy cấu hình cảnh báo."</t>
  </si>
  <si>
    <t>Nhấn x -&gt; nhấn OK trong hộp thoại</t>
  </si>
  <si>
    <t>Nhấn x -&gt; nhấn Cancel trong hộp thoại</t>
  </si>
  <si>
    <t>Đã chọn &gt;= 1 tình trạng sức khỏe</t>
  </si>
  <si>
    <t>Đã thêm &gt;= 1 quy tắc</t>
  </si>
  <si>
    <t>Thẻ gồm: Công tắc bật/tắt trái nhất, tên trạm + thành phố, badge AQI &gt;= [số] có màu tương ứng, nút x để xóa bên phải.</t>
  </si>
  <si>
    <t xml:space="preserve">Nhìn khung "Thêm quy tắc mới" trong card </t>
  </si>
  <si>
    <t>Nhìn card " Gợi ý ngưỡng cảnh báo cá nhân hóa"</t>
  </si>
  <si>
    <t>Cảnh báo vàng nhạt: "Bạn chưa chọn hồ sơ sức khỏe. Vào tab 'Hồ sơ &amp; Sức khoẻ' để cập nhật."</t>
  </si>
  <si>
    <t>&lt;=50: xanh lá. 51–100: vàng. 101–150: cam. &gt;150: đỏ.</t>
  </si>
  <si>
    <t>Dải thẻ tag xanh dương liệt kê các tình trạng sức khỏe đã chọn. Card gợi ý bên dưới hiện số AQI đề xuất lớn + tên nhóm + mô tả + nút "Áp dụng ngưỡng gợi ý".</t>
  </si>
  <si>
    <t>Nhấn "Áp dụng ngưỡng gợi ý"</t>
  </si>
  <si>
    <t>FUNC_AL09</t>
  </si>
  <si>
    <t>FUNC_AL10</t>
  </si>
  <si>
    <t>FUNC_AL11</t>
  </si>
  <si>
    <t>FUNC_AL12</t>
  </si>
  <si>
    <t>FUNC_AL13</t>
  </si>
  <si>
    <t>FUNC_AL14</t>
  </si>
  <si>
    <t>FUNC_AL15</t>
  </si>
  <si>
    <t>FUNC_AL16</t>
  </si>
  <si>
    <t>FUNC_AL17</t>
  </si>
  <si>
    <t>FUNC_AL18</t>
  </si>
  <si>
    <t>FUNC_AL19</t>
  </si>
  <si>
    <t>FUNC_AL20</t>
  </si>
  <si>
    <t>FUNC_AL21</t>
  </si>
  <si>
    <t>FUNC_AL22</t>
  </si>
  <si>
    <t>FUNCTION_SHOW THIẾT LẬP CẢNH BÁO</t>
  </si>
  <si>
    <t>GUI_SHOW THIẾT LÂP CẢNH BÁO</t>
  </si>
  <si>
    <t>Thiết lập cảnh báo</t>
  </si>
  <si>
    <t>GUI_AL01</t>
  </si>
  <si>
    <t>GUI_PP01</t>
  </si>
  <si>
    <t>Tiêu đề và mô tả</t>
  </si>
  <si>
    <t>GUI_PP02</t>
  </si>
  <si>
    <t>Nhãn chu kỳ thanh toán</t>
  </si>
  <si>
    <t>Nhìn dãy nhãn bên dưới tiêu đề</t>
  </si>
  <si>
    <t>GUI_PP03</t>
  </si>
  <si>
    <t>Thẻ Gói Cơ Bản</t>
  </si>
  <si>
    <t>Nhìn thẻ bên trái</t>
  </si>
  <si>
    <t>GUI_PP04</t>
  </si>
  <si>
    <t>Thẻ Gói Pro AI</t>
  </si>
  <si>
    <t>Nhìn thẻ bên phải</t>
  </si>
  <si>
    <t>GUI_PP05</t>
  </si>
  <si>
    <t>Nút mua Pro khi chưa Pro</t>
  </si>
  <si>
    <t>Tài khoản Free</t>
  </si>
  <si>
    <t>Nút nền xanh gradient, chữ đậm trắng, có thể nhấn.</t>
  </si>
  <si>
    <t>GUI_PP06</t>
  </si>
  <si>
    <t>Nút mua Pro khi đang Pro</t>
  </si>
  <si>
    <t>Nhìn nút</t>
  </si>
  <si>
    <t>Đang dùng gói Pro</t>
  </si>
  <si>
    <t>GUI_PP07</t>
  </si>
  <si>
    <t>Thanh trạng thái gói hiện tại</t>
  </si>
  <si>
    <t>Nhìn cuối trang, dưới 2 thẻ</t>
  </si>
  <si>
    <t>GUI_PP08</t>
  </si>
  <si>
    <t>Banner thanh toán thành công</t>
  </si>
  <si>
    <t>GUI_PP09</t>
  </si>
  <si>
    <t>Banner thanh toán thất bại</t>
  </si>
  <si>
    <t>GUI_PP10</t>
  </si>
  <si>
    <t>Thông báo lỗi khi không tạo được giao dịch</t>
  </si>
  <si>
    <t>Nhấn nút mua nhưng máy chủ lỗi</t>
  </si>
  <si>
    <t>FUNC_PP01</t>
  </si>
  <si>
    <t>Tự tải gói hiện tại khi vào trang</t>
  </si>
  <si>
    <t>Đã đăng nhập</t>
  </si>
  <si>
    <t>FUNC_PP02</t>
  </si>
  <si>
    <t>Hiện "Free" khi chưa đăng nhập</t>
  </si>
  <si>
    <t>Chưa đăng nhập</t>
  </si>
  <si>
    <t>FUNC_PP03</t>
  </si>
  <si>
    <t>Chuyển hướng đăng nhập nếu bấm mua khi chưa đăng nhập</t>
  </si>
  <si>
    <t>FUNC_PP04</t>
  </si>
  <si>
    <t>Chuyển sang trang VNPAY khi bấm mua</t>
  </si>
  <si>
    <t>Tài khoản Free, đã đăng nhập</t>
  </si>
  <si>
    <t>FUNC_PP05</t>
  </si>
  <si>
    <t>Tải lại trạng thái gói sau khi quay về từ VNPAY</t>
  </si>
  <si>
    <t>Thanh toán thành công</t>
  </si>
  <si>
    <t>FUNC_PP06</t>
  </si>
  <si>
    <t>Nút mua bị khóa khi đang xử lý</t>
  </si>
  <si>
    <t>Nhấn nút mua → quan sát trong lúc gọi API</t>
  </si>
  <si>
    <t>Nút mờ, không thể nhấn thêm lần thứ hai trong lúc đang xử lý.</t>
  </si>
  <si>
    <t>FUNC_PP07</t>
  </si>
  <si>
    <t>Tính năng bị khóa hiển thị đúng trên gói Free</t>
  </si>
  <si>
    <t>Nhìn danh sách tính năng của thẻ Gói Cơ Bản</t>
  </si>
  <si>
    <t>FUNC_PP08</t>
  </si>
  <si>
    <t>Tất cả tính năng Pro đều tích xanh</t>
  </si>
  <si>
    <t>Nhìn danh sách tính năng của thẻ Gói Pro AI</t>
  </si>
  <si>
    <t>Lấy danh sách gói mà không cần đăng nhập</t>
  </si>
  <si>
    <t>Không cần đăng nhập</t>
  </si>
  <si>
    <t>Lấy gói hiện tại của người dùng</t>
  </si>
  <si>
    <t>Tạo yêu cầu thanh toán hợp lệ</t>
  </si>
  <si>
    <t>Chặn tạo thanh toán khi chưa đăng nhập</t>
  </si>
  <si>
    <t>Giao dịch được lưu trạng thái Pending</t>
  </si>
  <si>
    <t>Mở /goi</t>
  </si>
  <si>
    <t>Trang gọi API /api/billing/my-subscription; thanh trạng thái cuối trang hiển thị đúng gói và ngày hết hạn.</t>
  </si>
  <si>
    <t>Trình duyệt chuyển sang trang /login; sau khi đăng nhập thành công quay lại trang /goi.</t>
  </si>
  <si>
    <t>Quay về từ VNPAY với ?payment=success</t>
  </si>
  <si>
    <t>Gọi GET /api/billing/plans</t>
  </si>
  <si>
    <t>Gọi GET /api/billing/my-subscription</t>
  </si>
  <si>
    <t>Gọi GET /api/billing/my-subscription không kèm token</t>
  </si>
  <si>
    <t>Gọi POST /api/billing/vnpay/create-payment</t>
  </si>
  <si>
    <t>Gọi POST /api/billing/vnpay/create-payment không kèm token</t>
  </si>
  <si>
    <t>Gọi tạo thanh toán → kiểm tra bảng SubscriptionPayments</t>
  </si>
  <si>
    <t>Bảng ghi nhận 1 dòng mới với status = "Pending", amount_vnd = 200000, provider = "VNPAY".</t>
  </si>
  <si>
    <t>Ba nhãn tròn nhỏ: Hàng tháng (xanh nhạt), Hàng năm (trắng), Tiết kiệm 20% (đỏ nhạt).</t>
  </si>
  <si>
    <t>Nhìn nút "Nâng cấp Pro ngay"</t>
  </si>
  <si>
    <t>Nút hiển thị "Đang dùng Pro" và bị mờ, không thể nhấn.</t>
  </si>
  <si>
    <t>Nhấn "Nâng cấp Pro ngay"</t>
  </si>
  <si>
    <t>Trang tự gọi lại API để cập nhật; thanh trạng thái đổi thành Pro và hiển thị ngày hết hạn.</t>
  </si>
  <si>
    <t>Hiển thị: "Gói hiện tại: [tên gói]". Nếu đang Pro và có ngày hết hạn: thêm "· Hết hạn: [ngày]".</t>
  </si>
  <si>
    <t>Banner xanh nhạt: "Thanh toán thành công. Tài khoản đã được nâng cấp lên Pro."</t>
  </si>
  <si>
    <t>Banner đỏ nhạt: "Thanh toán thất bại ([mã lý do]). Vui lòng thử lại."</t>
  </si>
  <si>
    <t>Hộp vàng nhạt hiện lỗi: "Không thể kết nối tới máy chủ thanh toán." hoặc lỗi cụ thể từ server.</t>
  </si>
  <si>
    <t>Thanh trạng thái hiện "Gói hiện tại: Free"; không gọi API.</t>
  </si>
  <si>
    <t>Nút đổi thành "Đang chuyển đến VNPAY..." và mờ trong lúc chờ. Sau đó trình duyệt mở trang thanh toán VNPAY.</t>
  </si>
  <si>
    <t>FUNC_PP09</t>
  </si>
  <si>
    <t>FUNC_PP10</t>
  </si>
  <si>
    <t>FUNC_PP11</t>
  </si>
  <si>
    <t>FUNC_PP12</t>
  </si>
  <si>
    <t>FUNC_PP13</t>
  </si>
  <si>
    <t>FUNC_PP14</t>
  </si>
  <si>
    <t>Tiêu đề lớn "Đầu tư cho lá phổi của bạn." - chữ "lá phổi" hiển thị màu xanh lá. Bên dưới là dòng mô tả về AI và sức khỏe.</t>
  </si>
  <si>
    <t>3 tính năng khóa: "Dự báo AI 7 ngày", "Eco-Routing theo bệnh lý", "API Key &amp; Cảnh báo" - hiển thị biểu tượng khóa, màu xám, chữ nghiêng.</t>
  </si>
  <si>
    <t>HTTP 200 - Trả về thông tin Free (giá 0) và Pro (giá 200.000 VNĐ / tháng) cùng danh sách tính năng.</t>
  </si>
  <si>
    <t>HTTP 200 - Gồm: tier, startedAt, expiresAt, isPro (true/false).</t>
  </si>
  <si>
    <t>HTTP 200 - Trả về paymentUrl là đường dẫn đến trang VNPAY hợp lệ.</t>
  </si>
  <si>
    <t>Nhãn "PHỔ BIẾN NHẤT" góc trên phải. Tiêu đề Gói Pro AI, giá 200.000 VNĐ / tháng (xanh lá), giá gốc gạch ngang 250.000 VNĐ. 5 tính năng tất cả đều tích .</t>
  </si>
  <si>
    <t>Cả 5 tính năng đều có  xanh lá, không có mục nào bị khóa.</t>
  </si>
  <si>
    <t>Tiêu đề Gói Cơ Bản, giá 0 VNĐ / tháng, danh sách 6 tính năng (3 tích  xanh + 3 khóa xám mờ). Nút "Gói hiện tại" xám và không bấm được.</t>
  </si>
  <si>
    <t xml:space="preserve">Vào trang sau khi thanh toán thành công </t>
  </si>
  <si>
    <t xml:space="preserve">Vào trang sau khi thanh toán thất bại </t>
  </si>
  <si>
    <t>GUI_SHOW NHẬN ĐĂNG KÝ GÓI PRO</t>
  </si>
  <si>
    <t>FUNCTION_SHOW ĐĂNG KÝ GÓI PRO</t>
  </si>
  <si>
    <t>Đăng ký gói PRO</t>
  </si>
  <si>
    <t>GUI_CB01</t>
  </si>
  <si>
    <t>Banner "Thanh toán thành công"</t>
  </si>
  <si>
    <t>GUI_CB02</t>
  </si>
  <si>
    <t>Nút mua Pro đổi trạng thái sau thành công</t>
  </si>
  <si>
    <t>Nhìn nút trên thẻ Pro sau khi redirect thành công</t>
  </si>
  <si>
    <t>Thanh toán vừa thành công</t>
  </si>
  <si>
    <t>GUI_CB03</t>
  </si>
  <si>
    <t>Ngày hết hạn hiển thị sau khi nâng cấp</t>
  </si>
  <si>
    <t>Nhìn thanh trạng thái cuối trang</t>
  </si>
  <si>
    <t>Tài khoản vừa nâng cấp Pro</t>
  </si>
  <si>
    <t>GUI_CB04</t>
  </si>
  <si>
    <t>Banner "Thanh toán thất bại"</t>
  </si>
  <si>
    <t>GUI_CB05</t>
  </si>
  <si>
    <t>Nút mua Pro vẫn hoạt động sau khi thất bại</t>
  </si>
  <si>
    <t>FUNC_CB01</t>
  </si>
  <si>
    <t>Luồng mua Pro hoàn chỉnh</t>
  </si>
  <si>
    <t>FUNC_CB02</t>
  </si>
  <si>
    <t>Hủy thanh toán trên VNPAY</t>
  </si>
  <si>
    <t>FUNC_CB03</t>
  </si>
  <si>
    <t>Gia hạn Pro khi còn thời hạn</t>
  </si>
  <si>
    <t>Mua Pro khi còn 5 ngày Pro</t>
  </si>
  <si>
    <t>Tài khoản Pro còn hạn</t>
  </si>
  <si>
    <t>Ngày hết hạn sau khi thanh toán = ngày hết hạn cũ + 1 tháng (cộng dồn, không xóa phần còn lại).</t>
  </si>
  <si>
    <t>FUNC_CB04</t>
  </si>
  <si>
    <t>Gói được đặt lại nếu đã hết hạn</t>
  </si>
  <si>
    <t>Mua Pro khi tài khoản Pro đã hết hạn</t>
  </si>
  <si>
    <t>Tài khoản Pro quá hạn</t>
  </si>
  <si>
    <t>Ngày hết hạn = hôm nay + 1 tháng (tính lại từ đầu).</t>
  </si>
  <si>
    <t>PI_CB01</t>
  </si>
  <si>
    <t>API_CB02</t>
  </si>
  <si>
    <t>Mã giao dịch không tồn tại trong hệ thống</t>
  </si>
  <si>
    <t>API_CB03</t>
  </si>
  <si>
    <t>Chữ ký bị giả mạo (sai hash)</t>
  </si>
  <si>
    <t>API_CB04</t>
  </si>
  <si>
    <t>Thanh toán thất bại từ VNPAY (mã phản hồi khác 00)</t>
  </si>
  <si>
    <t>Chữ ký hợp lệ</t>
  </si>
  <si>
    <t>API_CB05</t>
  </si>
  <si>
    <t>Chữ ký hợp lệ, giao dịch Pending</t>
  </si>
  <si>
    <t>API_CB06</t>
  </si>
  <si>
    <t>Gọi lại callback cho giao dịch đã Success</t>
  </si>
  <si>
    <t>Giao dịch đã ở trạng thái Success</t>
  </si>
  <si>
    <t>API_CB07</t>
  </si>
  <si>
    <t>Lưu dữ liệu giao dịch đầy đủ</t>
  </si>
  <si>
    <t>Kiểm tra CSDL sau callback thành công</t>
  </si>
  <si>
    <t>API_CB08</t>
  </si>
  <si>
    <t>Người dùng bị xóa trước khi callback</t>
  </si>
  <si>
    <t>Chữ ký hợp lệ, mã giao dịch 00</t>
  </si>
  <si>
    <t>Thiếu mã giao dịch vnp_TxnRef</t>
  </si>
  <si>
    <t>Gọi GET /api/billing/vnpay-return không có vnp_TxnRef</t>
  </si>
  <si>
    <t>Chuyển hướng về /goi?payment=failed&amp;reason=missing-txn.</t>
  </si>
  <si>
    <t>Gọi với vnp_TxnRef không có trong CSDL</t>
  </si>
  <si>
    <t>Chuyển hướng về /goi?payment=failed&amp;reason=unknown-payment.</t>
  </si>
  <si>
    <t>Gọi với vnp_TxnRef hợp lệ nhưng sửa giá trị vnp_SecureHash</t>
  </si>
  <si>
    <t>Gọi với vnp_ResponseCode ≠ "00" hoặc vnp_TransactionStatus ≠ "00"</t>
  </si>
  <si>
    <t>Gọi với vnp_ResponseCode = "00" và vnp_TransactionStatus = "00"</t>
  </si>
  <si>
    <t>Gọi callback lần 2 với cùng vnp_TxnRef đã thành công</t>
  </si>
  <si>
    <t>Bảng SubscriptionPayments ghi nhận: gateway_transaction_no, bank_code, raw_response (JSON toàn bộ tham số VNPAY trả về).</t>
  </si>
  <si>
    <t>Nhìn trang /goi sau khi VNPAY chuyển về</t>
  </si>
  <si>
    <t>URL có ?payment=success</t>
  </si>
  <si>
    <t>Nhìn trang /goi sau khi VNPAY trả về thất bại</t>
  </si>
  <si>
    <t>URL có ?payment=failed&amp;reason=...</t>
  </si>
  <si>
    <t>Nhìn nút sau khi nhận payment=failed</t>
  </si>
  <si>
    <t>Nút "Nâng cấp Pro ngay" vẫn xanh và có thể bấm để thử lại.</t>
  </si>
  <si>
    <t>Banner xanh lá nhạt với viền xanh: "Thanh toán thành công. Tài khoản đã được nâng cấp lên Pro."</t>
  </si>
  <si>
    <t>Banner đỏ nhạt với viền đỏ: "Thanh toán thất bại ([mã lý do]). Vui lòng thử lại."</t>
  </si>
  <si>
    <t>Gọi callback khi UserId của giao dịch không còn trong bảng Users</t>
  </si>
  <si>
    <t>FUNCTION_SHOW NHẬN THANH TOÁN</t>
  </si>
  <si>
    <t>GUI_SHOW NHẬN THANH TOÁN</t>
  </si>
  <si>
    <t>Thanh toán</t>
  </si>
  <si>
    <t>Nút đổi thành "Đang dùng Pro" - mờ, không bấm được.</t>
  </si>
  <si>
    <t>"Gói hiện tại: Pro · Hết hạn: [ngày cụ thể]" - ngày = hôm nay + 1 tháng.</t>
  </si>
  <si>
    <t>Nhấn "Nâng cấp Pro ngay" -&gt; hoàn tất thanh toán trên VNPAY</t>
  </si>
  <si>
    <t>Hệ thống tạo giao dịch -&gt; chuyển sang VNPAY -&gt; sau khi trả về, tài khoản được nâng cấp Pro và banner xanh hiện ra.</t>
  </si>
  <si>
    <t>Nhấn "Nâng cấp Pro ngay" -&gt; nhấn hủy trên trang VNPAY</t>
  </si>
  <si>
    <t>VNPAY chuyển về với mã lỗi -&gt; trang /goi hiện banner đỏ thất bại; tài khoản vẫn là Free.</t>
  </si>
  <si>
    <t>Giao dịch đổi trạng thái thành Failed trong CSDL -&gt; chuyển về /goi?payment=failed&amp;reason=invalid-signature.</t>
  </si>
  <si>
    <t>Giao dịch đổi trạng thái thành Failed -&gt; chuyển về /goi?payment=failed&amp;reason=[mã lỗi].</t>
  </si>
  <si>
    <t>Giao dịch đổi thành Success, paid_at được ghi. Tài khoản người dùng: subscription_tier = "Pro", expires_at = thời điểm xử lý + 1 tháng -&gt; chuyển về /goi?payment=success.</t>
  </si>
  <si>
    <t>Bỏ qua, không cộng thêm thời hạn lần nữa -&gt; chuyển về /goi?payment=success (idempotent).</t>
  </si>
  <si>
    <t>Giao dịch đổi thành Failed -&gt; chuyển về /goi?payment=failed&amp;reason=missing-user.</t>
  </si>
  <si>
    <t>Địa điểm quan tâm</t>
  </si>
  <si>
    <t>Quản lý liên hệ</t>
  </si>
  <si>
    <t>Khuyến nghị sức khỏe</t>
  </si>
  <si>
    <t>Fail</t>
  </si>
  <si>
    <t>GUI_ER01</t>
  </si>
  <si>
    <t>Tiêu đề bảng điều khiển</t>
  </si>
  <si>
    <t>Nhìn đầu bảng trái</t>
  </si>
  <si>
    <t>GUI_ER02</t>
  </si>
  <si>
    <t>Ô nhập điểm đi (A)</t>
  </si>
  <si>
    <t>Nhìn ô trên cùng</t>
  </si>
  <si>
    <t>GUI_ER03</t>
  </si>
  <si>
    <t>Ô nhập điểm đến (B)</t>
  </si>
  <si>
    <t>Nhìn ô thứ hai</t>
  </si>
  <si>
    <t>GUI_ER04</t>
  </si>
  <si>
    <t>Nhập ít nhất 1 ký tự vào ô</t>
  </si>
  <si>
    <t>GUI_ER05</t>
  </si>
  <si>
    <t>Nút "⇅ Hoán đổi"</t>
  </si>
  <si>
    <t>Nhìn hàng giữa 2 ô nhập</t>
  </si>
  <si>
    <t>GUI_ER06</t>
  </si>
  <si>
    <t>GUI_ER07</t>
  </si>
  <si>
    <t>Nhìn ô tích với tài khoản Free</t>
  </si>
  <si>
    <t>GUI_ER08</t>
  </si>
  <si>
    <t>Tích ô "Áp dụng hồ sơ y tế"</t>
  </si>
  <si>
    <t>Vùng bao quanh ô tích đổi sang nền xanh nhạt, viền xanh lá.</t>
  </si>
  <si>
    <t>GUI_ER09</t>
  </si>
  <si>
    <t>Nhìn nút khi chưa chọn đủ A và B</t>
  </si>
  <si>
    <t>Nút màu xám nhạt, không thể nhấn.</t>
  </si>
  <si>
    <t>GUI_ER10</t>
  </si>
  <si>
    <t>Nhìn nút sau khi chọn đủ A và B</t>
  </si>
  <si>
    <t>GUI_ER11</t>
  </si>
  <si>
    <t>Hộp thông báo lỗi</t>
  </si>
  <si>
    <t>Khi xảy ra lỗi (ví dụ thiếu điểm)</t>
  </si>
  <si>
    <t>Dải đỏ nhạt viền đỏ hiện thông báo lỗi cụ thể.</t>
  </si>
  <si>
    <t>UI_ER12</t>
  </si>
  <si>
    <t>Hộp chào mặc định khi chưa tính</t>
  </si>
  <si>
    <t>Nhìn giữa bản đồ</t>
  </si>
  <si>
    <t>Chưa tính đường nào</t>
  </si>
  <si>
    <t>GUI_ER13</t>
  </si>
  <si>
    <t>Hộp đang tính toán</t>
  </si>
  <si>
    <t>Nhìn bản đồ trong lúc hệ thống tính</t>
  </si>
  <si>
    <t>Đang gọi API</t>
  </si>
  <si>
    <t>GUI_ER14</t>
  </si>
  <si>
    <t>Vẽ tuyến Eco (xanh lá đậm)</t>
  </si>
  <si>
    <t>Nhìn bản đồ sau khi có kết quả</t>
  </si>
  <si>
    <t>Kết quả trả về thành công</t>
  </si>
  <si>
    <t>Tuyến đường xanh lá liền nét dày hơn hiển thị trên bản đồ.</t>
  </si>
  <si>
    <t>GUI_ER15</t>
  </si>
  <si>
    <t>Vẽ tuyến thường (đỏ nét đứt)</t>
  </si>
  <si>
    <t>Nhìn bản đồ</t>
  </si>
  <si>
    <t>Tuyến đường đỏ nét đứt hiển thị phía sau tuyến xanh.</t>
  </si>
  <si>
    <t>GUI_ER16</t>
  </si>
  <si>
    <t>Điểm đánh dấu A (xanh dương) và B (xanh lá)</t>
  </si>
  <si>
    <t>Nhìn bản đồ sau khi chọn địa điểm</t>
  </si>
  <si>
    <t>Đã chọn A và/hoặc B</t>
  </si>
  <si>
    <t>Chấm tròn màu đúng tại vị trí A (xanh dương) và B (xanh lá), có chữ nhãn nổi bên trên.</t>
  </si>
  <si>
    <t>GUI_ER17</t>
  </si>
  <si>
    <t>Bản đồ tự khớp vùng hiển thị cả 2 tuyến</t>
  </si>
  <si>
    <t>Nhìn zoom bản đồ sau khi có kết quả</t>
  </si>
  <si>
    <t>Bản đồ tự thu/phóng để cả 2 tuyến đường đều nằm gọn trong màn hình, khoảng cách viền đều nhau.</t>
  </si>
  <si>
    <t>GUI_ER18</t>
  </si>
  <si>
    <t>Dải tóm tắt kết quả</t>
  </si>
  <si>
    <t>Nhìn phần trên của kết quả</t>
  </si>
  <si>
    <t>Sau khi tính xong</t>
  </si>
  <si>
    <t>Dải xanh nhạt hiển thị câu tóm tắt ngắn gọn về sự khác biệt giữa 2 tuyến.</t>
  </si>
  <si>
    <t>GUI_ER19</t>
  </si>
  <si>
    <t>Nhìn thẻ tuyến Eco</t>
  </si>
  <si>
    <t>GUI_ER20</t>
  </si>
  <si>
    <t>Nhìn lưới 2×2 trong thẻ</t>
  </si>
  <si>
    <t>GUI_ER21</t>
  </si>
  <si>
    <t>Màu AQI trong thẻ</t>
  </si>
  <si>
    <t>Nhìn số AQI TB trong thẻ</t>
  </si>
  <si>
    <t>GUI_ER22</t>
  </si>
  <si>
    <t>Điểm rủi ro sức khỏe (Pro)</t>
  </si>
  <si>
    <t>Nhìn phần dưới thẻ tuyến</t>
  </si>
  <si>
    <t>Tài khoản Pro, có hồ sơ sức khỏe</t>
  </si>
  <si>
    <t>GUI_ER23</t>
  </si>
  <si>
    <t>Hộp tư vấn sức khỏe</t>
  </si>
  <si>
    <t>Nhìn phần cuối thẻ kết quả</t>
  </si>
  <si>
    <t>Hộp xanh nhạt (tuyến Eco) hoặc vàng nhạt (tuyến thường) chứa lời khuyên từ server.</t>
  </si>
  <si>
    <t>GUI_ER24</t>
  </si>
  <si>
    <t>Banner hồ sơ y tế đang áp dụng</t>
  </si>
  <si>
    <t>Nhìn bên dưới 2 thẻ tuyến</t>
  </si>
  <si>
    <t>Đã tích "Áp dụng hồ sơ y tế", có điều kiện sức khỏe</t>
  </si>
  <si>
    <t>GUI_ER25</t>
  </si>
  <si>
    <t>Chú thích màu tuyến</t>
  </si>
  <si>
    <t>Nhìn hàng chú thích dưới 2 thẻ</t>
  </si>
  <si>
    <t>GUI_ER26</t>
  </si>
  <si>
    <t>Biểu đồ AQI dọc tuyến</t>
  </si>
  <si>
    <t>Nhìn biểu đồ đường</t>
  </si>
  <si>
    <t>Kết quả có dữ liệu AQI theo km</t>
  </si>
  <si>
    <t>Biểu đồ đường 2 lớp: xanh lá liền (Eco) và đỏ đứt (thường); trục X là khoảng cách km, trục Y là AQI; hover hiện giá trị.</t>
  </si>
  <si>
    <t>FUNC_ER01</t>
  </si>
  <si>
    <t>Sau ~400ms: danh sách gợi ý xổ xuống (tối đa 7 kết quả), mỗi mục có tên và loại địa điểm.</t>
  </si>
  <si>
    <t>FUNC_ER02</t>
  </si>
  <si>
    <t>Không gợi ý khi dưới 2 ký tự</t>
  </si>
  <si>
    <t>Gõ 1 ký tự vào ô A</t>
  </si>
  <si>
    <t>Không có danh sách gợi ý xuất hiện.</t>
  </si>
  <si>
    <t>FUNC_ER03</t>
  </si>
  <si>
    <t>Chọn gợi ý xác nhận tọa độ</t>
  </si>
  <si>
    <t>Nhấn vào 1 gợi ý trong danh sách</t>
  </si>
  <si>
    <t>Ô nhập điền tên địa điểm; bản đồ tự bay đến vị trí đó (zoom 15); điểm đánh dấu hiện ra.</t>
  </si>
  <si>
    <t>FUNC_ER04</t>
  </si>
  <si>
    <t>Ô trắng; điểm đánh dấu tương ứng trên bản đồ biến mất.</t>
  </si>
  <si>
    <t>FUNC_ER05</t>
  </si>
  <si>
    <t>Nội dung và tọa độ của A và B đổi chỗ nhau.</t>
  </si>
  <si>
    <t>FUNC_ER06</t>
  </si>
  <si>
    <t>Lấy vị trí GPS</t>
  </si>
  <si>
    <t>Trình duyệt cho phép GPS</t>
  </si>
  <si>
    <t>Ô A tự điền tọa độ, bản đồ bay đến vị trí đó.</t>
  </si>
  <si>
    <t>FUNC_ER07</t>
  </si>
  <si>
    <t>Lỗi GPS khi bị từ chối</t>
  </si>
  <si>
    <t>FUNC_ER08</t>
  </si>
  <si>
    <t>Chặn tích hồ sơ y tế với tài khoản Free</t>
  </si>
  <si>
    <t>FUNC_ER09</t>
  </si>
  <si>
    <t>Tính toán bị chặn khi hệ thống chưa chọn đủ điểm</t>
  </si>
  <si>
    <t>FUNC_ER10</t>
  </si>
  <si>
    <t>Luồng tính toán hoàn chỉnh</t>
  </si>
  <si>
    <t>API_ER01</t>
  </si>
  <si>
    <t>API_ER02</t>
  </si>
  <si>
    <t>Thiếu tọa độ điểm đến</t>
  </si>
  <si>
    <t>API_ER03</t>
  </si>
  <si>
    <t>Kết quả trả về đầy đủ cấu trúc</t>
  </si>
  <si>
    <t>Gửi đúng với A và B hợp lệ</t>
  </si>
  <si>
    <t>API_ER04</t>
  </si>
  <si>
    <t>Điểm rủi ro sức khỏe chỉ có khi dùng Pro + hồ sơ</t>
  </si>
  <si>
    <t>API_ER05</t>
  </si>
  <si>
    <t>Không có điểm rủi ro khi là Free</t>
  </si>
  <si>
    <t>API_ER06</t>
  </si>
  <si>
    <t>Đường Eco luôn có AQI thấp hơn hoặc bằng đường thường</t>
  </si>
  <si>
    <t>Gọi POST /api/eco-routing/calculate không kèm token</t>
  </si>
  <si>
    <t>Gửi không kèm destLat / destLng</t>
  </si>
  <si>
    <t>Gửi với useHealthProfile = true</t>
  </si>
  <si>
    <t>Mỗi tuyến có thêm healthRiskScore (0–10) và healthAdvice.</t>
  </si>
  <si>
    <t>healthRiskScore và healthAdvice vắng mặt hoặc null.</t>
  </si>
  <si>
    <t>Nhìn kết quả avgAqi giữa 2 tuyến</t>
  </si>
  <si>
    <t>Hiển thị: Khoảng cách (km), Thời gian (phút), AQI TB (có màu), PM2.5 TB (μg/m³).</t>
  </si>
  <si>
    <t>Nhấn Tính toán khi thiếu A hoặc B</t>
  </si>
  <si>
    <t>Chấm tròn màu xanh dương + gợi ý "Nhập địa chỉ điểm đi (A)".</t>
  </si>
  <si>
    <t>Chấm tròn màu xanh lá + gợi ý "Nhập địa chỉ điểm đến (B)".</t>
  </si>
  <si>
    <t>Nút "⇅ Hoán đổi" hiển thị; mờ khi cả 2 ô đang trống.</t>
  </si>
  <si>
    <t>Nút hiển thị kèm chữ "Vị trí hiện tại".</t>
  </si>
  <si>
    <t>Vòng tròn màu xanh/vàng/đỏ chứa số từ 0–10, kèm "/ 10".</t>
  </si>
  <si>
    <t>Dải xanh dương liệt kê các tình trạng: "Hồ sơ y tế đang áp dụng: [tên tình trạng, ...]"</t>
  </si>
  <si>
    <t>Gõ "Hà Nội" vào ô A</t>
  </si>
  <si>
    <t>Thông báo lỗi đỏ: "Không thể lấy vị trí. Hãy cho phép truy cập GPS."</t>
  </si>
  <si>
    <t>Ô không bật; thông báo lỗi đỏ: "Tính năng yêu cầu tài khoản nâng cấp PRO".</t>
  </si>
  <si>
    <t>Thông báo lỗi đỏ: "Vui lòng chọn cả điểm đi và điểm đến từ gợi ý."</t>
  </si>
  <si>
    <t>Gợi ý địa điểm sau khi gõ &gt;= 2 ký tự</t>
  </si>
  <si>
    <t>Vạch xanh lá liền -&gt;"Tuyến Eco"; vạch đỏ đứt -&gt;"Tuyến thường".</t>
  </si>
  <si>
    <t>Nút đổi "Đang tính toán..." và mờ. Sau khi xong: 2 thẻ kết quả xuất hiện, bản đồ vẽ 2 tuyến, khớp zoom.</t>
  </si>
  <si>
    <t>Ô tích "Áp dụng hồ sơ y tế" - gói Free</t>
  </si>
  <si>
    <t>Ô tích được chọn - đổi màu nền</t>
  </si>
  <si>
    <t>Nút "Tính toán lộ trình" - trạng thái chờ</t>
  </si>
  <si>
    <t>Nút "Tính toán lộ trình" - sẵn sàng</t>
  </si>
  <si>
    <t>Thẻ tuyến Eco - nhãn "✓ Khuyên dùng"</t>
  </si>
  <si>
    <t>Thẻ tuyến - 4 chỉ số</t>
  </si>
  <si>
    <t>HTTP 400 - thông báo thiếu dữ liệu đầu vào.</t>
  </si>
  <si>
    <t>HTTP 200 - gồm summary, ecoRoute và normalRoute, mỗi tuyến có: label, distanceKm, durationMin, avgAqi, avgPm25, geometry (mảng tọa độ), aqiSamples.</t>
  </si>
  <si>
    <t>&lt;=50: xanh lá. 51–100: vàng. 101–150: cam. 151–200: đỏ. &gt;200: tím.</t>
  </si>
  <si>
    <t>ecoRoute.avgAqi &lt;= normalRoute.avgAqi (hệ thống chọn tuyến không khí sạch hơn).</t>
  </si>
  <si>
    <t>Nhấn x khi ô đang có nội dung</t>
  </si>
  <si>
    <t>Nhập cả A và B -&gt; nhấn ⇅ Hoán đổi</t>
  </si>
  <si>
    <t>Chọn đủ A, B -&gt; nhấn Tính toán</t>
  </si>
  <si>
    <t>Nhấn Vị trí hiện tại</t>
  </si>
  <si>
    <t>Nhấn Vị trí hiện tại -&gt; từ chối quyền trong trình duyệt</t>
  </si>
  <si>
    <t>Nút xuất hiện ở bên phải ô - nhấn xóa toàn bộ nội dung ô.</t>
  </si>
  <si>
    <t>Ô tích hiển thị nhãn vàng nhỏ "Yêu cầu PRO" bên dưới mô tả.</t>
  </si>
  <si>
    <t>Nút nền gradient xanh lá, chữ "Tính toán lộ trình sạch", có bóng.</t>
  </si>
  <si>
    <t>Hộp trắng bo tròn: biểu tượng, tiêu đề "Tìm đường đi sạch", mô tả so sánh tuyến.</t>
  </si>
  <si>
    <t>Hộp trắng bo tròn: biểu tượng, chữ "Đang tính toán lộ trình...".</t>
  </si>
  <si>
    <t>Nhãn xanh "Khuyên dùng" ở góc trên phải thẻ; viền xanh lá đậm, bóng xanh nhẹ.</t>
  </si>
  <si>
    <t>Biểu tượng, tiêu đề "Eco-Routing", dòng mô tả "Tìm đường đi sạch nhất".</t>
  </si>
  <si>
    <t>Hoán đổi A,B</t>
  </si>
  <si>
    <t>Xóa ô nhập bằng nút X</t>
  </si>
  <si>
    <t>Nút Xóa X trong ô nhập</t>
  </si>
  <si>
    <t>Nút "Vị trí hiện tại"</t>
  </si>
  <si>
    <t>FUNCTION_SHOW TÌM ĐƯỜNG</t>
  </si>
  <si>
    <t xml:space="preserve">GUI_SHOW TÌM ĐƯỜNG </t>
  </si>
  <si>
    <t>Tìm đường</t>
  </si>
  <si>
    <t>Ô Email bị khóa</t>
  </si>
  <si>
    <t>Nhìn ô Email</t>
  </si>
  <si>
    <t>7 nút tình trạng sức khỏe mặc định</t>
  </si>
  <si>
    <t>Nhìn vùng tình trạng sức khỏe</t>
  </si>
  <si>
    <t>7 nút tròn: Hen suyễn, Viêm mũi dị ứng, COPD, Bệnh tim mạch, Người cao tuổi, Trẻ nhỏ, Phụ nữ mang thai.</t>
  </si>
  <si>
    <t>Nút được chọn đổi màu</t>
  </si>
  <si>
    <t>Nhấn một nút tình trạng</t>
  </si>
  <si>
    <t>Nút đổi sang viền xanh + nền xanh nhạt + chữ xanh.</t>
  </si>
  <si>
    <t>Hiện thẻ tag sau khi chọn tình trạng</t>
  </si>
  <si>
    <t>Nhìn vùng dưới ô nhập tùy chỉnh</t>
  </si>
  <si>
    <t>Đếm tình trạng hiển thị đúng</t>
  </si>
  <si>
    <t>Nhìn số góc phải nhãn</t>
  </si>
  <si>
    <t>Nhìn hộp xanh dương dưới biểu mẫu</t>
  </si>
  <si>
    <t>Chưa chọn tình trạng nào</t>
  </si>
  <si>
    <t>Hiện 2 gợi ý mặc định: yêu cầu bổ sung hồ sơ và bật cảnh báo PM2.5.</t>
  </si>
  <si>
    <t>GUI_PH15</t>
  </si>
  <si>
    <t>Gợi ý riêng cho nhóm hen suyễn/COPD</t>
  </si>
  <si>
    <t>Nhìn hộp gợi ý sau khi chọn Hen suyễn hoặc COPD</t>
  </si>
  <si>
    <t>GUI_PH16</t>
  </si>
  <si>
    <t>Nút "Lưu hồ sơ" bị mờ khi chưa thay đổi</t>
  </si>
  <si>
    <t>Nhìn nút sau khi vào trang</t>
  </si>
  <si>
    <t>Chưa sửa gì</t>
  </si>
  <si>
    <t>Nút mờ và không bấm được.</t>
  </si>
  <si>
    <t>GUI_PH17</t>
  </si>
  <si>
    <t>Nút "Hoàn tác" bị mờ khi chưa thay đổi</t>
  </si>
  <si>
    <t>GUI_PH18</t>
  </si>
  <si>
    <t>Huy hiệu "Free" khi dùng gói miễn phí</t>
  </si>
  <si>
    <t>Nhìn huy hiệu</t>
  </si>
  <si>
    <t>Gói Free</t>
  </si>
  <si>
    <t>GUI_PH19</t>
  </si>
  <si>
    <t>Gói Pro</t>
  </si>
  <si>
    <t>GUI_PH20</t>
  </si>
  <si>
    <t>Hiển thị ngày bắt đầu và ngày hết hạn</t>
  </si>
  <si>
    <t>Nhìn thông tin gói</t>
  </si>
  <si>
    <t>Gói Pro, có ngày bắt đầu và ngày hết hạn</t>
  </si>
  <si>
    <t>GUI_PH21</t>
  </si>
  <si>
    <t>Thanh thời gian còn lại</t>
  </si>
  <si>
    <t>Nhìn thanh dưới thông tin ngày</t>
  </si>
  <si>
    <t>Gói Pro còn hạn</t>
  </si>
  <si>
    <t>Thanh xanh ngọc, độ rộng ~ số ngày còn lại × 3% (tối đa 100%).</t>
  </si>
  <si>
    <t>GUI_PH22</t>
  </si>
  <si>
    <t>Liên kết "Nâng cấp lên Pro"</t>
  </si>
  <si>
    <t>Nhìn phần dưới hộp</t>
  </si>
  <si>
    <t>Mẹo khi dùng Free</t>
  </si>
  <si>
    <t>Nhìn hộp xanh lá dưới cùng hộp gói</t>
  </si>
  <si>
    <t>Thông báo quyền lợi khi dùng Pro</t>
  </si>
  <si>
    <t>Nhìn hộp xanh lá</t>
  </si>
  <si>
    <t>Ba ô nhập + nút ẩn/hiện mật khẩu</t>
  </si>
  <si>
    <t>Nhìn tổng thể form đổi mật khẩu</t>
  </si>
  <si>
    <t>Nhập mật khẩu mới ít hơn 8 ký tự, chỉ có 1 loại ký tự</t>
  </si>
  <si>
    <t>Nhập đủ 8 ký tự nhưng chỉ 2 loại</t>
  </si>
  <si>
    <t>Nhập 3 loại ký tự (chữ + số + một kiểu khác)</t>
  </si>
  <si>
    <t>Nút "Đổi mật khẩu" bị mờ khi chưa điền đủ</t>
  </si>
  <si>
    <t>Để trống bất kỳ ô nào trong 3 ô</t>
  </si>
  <si>
    <t>Nút mờ, không bấm được.</t>
  </si>
  <si>
    <t>FUNC_PH01</t>
  </si>
  <si>
    <t>Chặn thay đổi tình trạng sức khỏe với tài khoản Free</t>
  </si>
  <si>
    <t>Nhấn nút tình trạng hoặc thêm tùy chỉnh</t>
  </si>
  <si>
    <t>FUNC_PH02</t>
  </si>
  <si>
    <t>Thêm tình trạng tùy chỉnh thành công</t>
  </si>
  <si>
    <t>Tài khoản Pro, chưa trùng, chưa đủ 10</t>
  </si>
  <si>
    <t>Tình trạng mới xuất hiện trong danh sách thẻ tag xanh dương; ô nhập được xóa trắng.</t>
  </si>
  <si>
    <t>FUNC_PH03</t>
  </si>
  <si>
    <t>Không thêm tình trạng trùng nhau</t>
  </si>
  <si>
    <t>Nhập tên đã có rồi nhấn + Thêm</t>
  </si>
  <si>
    <t>Ô nhập trắng trở lại; danh sách không thêm mục trùng.</t>
  </si>
  <si>
    <t>FUNC_PH04</t>
  </si>
  <si>
    <t>Giới hạn 10 tình trạng</t>
  </si>
  <si>
    <t>Thêm đến mục thứ 11</t>
  </si>
  <si>
    <t>Tổng số dừng ở 10; mục thứ 11 bị bỏ qua.</t>
  </si>
  <si>
    <t>FUNC_PH05</t>
  </si>
  <si>
    <t>Xóa thẻ tag tình trạng</t>
  </si>
  <si>
    <t>Thẻ tag biến mất; nút tương ứng (nếu có) trở về trạng thái bình thường.</t>
  </si>
  <si>
    <t>FUNC_PH06</t>
  </si>
  <si>
    <t>FUNC_PH07</t>
  </si>
  <si>
    <t>Hoàn tác về trạng thái ban đầu</t>
  </si>
  <si>
    <t>FUNC_PH08</t>
  </si>
  <si>
    <t>Không lưu khi tên trống</t>
  </si>
  <si>
    <t>FUNC_PH09</t>
  </si>
  <si>
    <t>Bật/tắt hiện mật khẩu</t>
  </si>
  <si>
    <t>FUNC_PH10</t>
  </si>
  <si>
    <t>Mật khẩu hiện tại đúng, mật khẩu mới khớp xác nhận</t>
  </si>
  <si>
    <t>FUNC_PH11</t>
  </si>
  <si>
    <t>Lỗi khi mật khẩu mới và xác nhận không khớp</t>
  </si>
  <si>
    <t>API_PH01</t>
  </si>
  <si>
    <t>API_PH02</t>
  </si>
  <si>
    <t>Lấy hồ sơ thành công</t>
  </si>
  <si>
    <t>Gọi GET /api/auth/profile-health không kèm token</t>
  </si>
  <si>
    <t>Mỗi tình trạng đã chọn hiện ra dưới dạng thẻ tag xanh dương với nút × để xóa.</t>
  </si>
  <si>
    <t>Thanh màu đỏ 25%, nhãn "Yếu".</t>
  </si>
  <si>
    <t>Thanh màu vàng 50%, nhãn "Trung bình".</t>
  </si>
  <si>
    <t>Thanh màu xanh dương 75%, nhãn "Khá".</t>
  </si>
  <si>
    <t>Thanh màu xanh lá 100%, nhãn "Mạnh".</t>
  </si>
  <si>
    <t>Thông báo lỗi đỏ: "Tính năng yêu cầu tài khoản nâng cấp PRO". Nút không bật.</t>
  </si>
  <si>
    <t>Nút đổi thành "Đang lưu...", mờ. Sau khi xong: thông báo xanh, nút Lưu/Hoàn tác mờ lại.</t>
  </si>
  <si>
    <t>Tên và danh sách tình trạng quay lại đúng như lúc mới tải trang; thông báo xanh: "Đã khôi phục dữ liệu hồ sơ ban đầu."</t>
  </si>
  <si>
    <t>Nút đổi thành "Đang xử lý...". Sau khi xong: 3 ô trắng trở lại, thông báo xanh xác nhận.</t>
  </si>
  <si>
    <t>Gợi ý: "Ưu tiên cảnh báo PM2.5 và PM10, tránh hoạt động ngoài trời khi AQI &gt; 100."</t>
  </si>
  <si>
    <t>Huy hiệu xám nhạt, chữ "Free".</t>
  </si>
  <si>
    <t>Hiển thị đúng định dạng ngày/giờ tiếng Việt. Nếu chưa có thì hiện "Chưa xác định".</t>
  </si>
  <si>
    <t>Hiển thị chữ vàng "Nâng cấp lên Pro" dẫn đến /goi.</t>
  </si>
  <si>
    <t>Nội dung: "Mẹo: nâng cấp PRO để nhận cảnh báo ưu tiên..."</t>
  </si>
  <si>
    <t>Nội dung: "Bạn đang dùng gói PRO: đã mở khóa cảnh báo nâng cao..."</t>
  </si>
  <si>
    <t>Huy hiệu " PRO" khi dùng gói Pro</t>
  </si>
  <si>
    <t>Huy hiệu vàng nhạt, chữ " PRO".</t>
  </si>
  <si>
    <t>Nhập tên tùy chỉnh -&gt; nhấn + Thêm</t>
  </si>
  <si>
    <t>Đổi tên -&gt; nhấn Lưu hồ sơ</t>
  </si>
  <si>
    <t>Thay đổi tên + sức khỏe -&gt; nhấn Hoàn tác</t>
  </si>
  <si>
    <t>Xóa trắng ô Họ và tên -&gt; nhấn Lưu</t>
  </si>
  <si>
    <t>Điền đầy đủ 3 ô đúng -&gt; nhấn Đổi mật khẩu</t>
  </si>
  <si>
    <t>Nhập mật khẩu mới khác xác nhận -&gt; nhấn Đổi</t>
  </si>
  <si>
    <t>Ô Email hiển thị địa chỉ đúng và có nền xám - không thể sửa.</t>
  </si>
  <si>
    <t>Gợi ý cảnh báo cá nhân hóa - khi chưa chọn sức khỏe</t>
  </si>
  <si>
    <t>Thanh độ mạnh mật khẩu - Yếu</t>
  </si>
  <si>
    <t>Thanh độ mạnh - Trung bình</t>
  </si>
  <si>
    <t>Thanh độ mạnh - Khá</t>
  </si>
  <si>
    <t>Thanh độ mạnh - Mạnh</t>
  </si>
  <si>
    <t>Thông báo lỗi đỏ: "Họ và tên không được để trống." - không gọi server.</t>
  </si>
  <si>
    <t>Thông báo lỗi đỏ: "Mật khẩu mới và xác nhận không khớp." - không gọi server.</t>
  </si>
  <si>
    <t>Chặn khi chưa đăng nhập - lấy hồ sơ</t>
  </si>
  <si>
    <t>Ô đổi qua lại giữa kiểu chấm và kiểu chữ rõ; biểu tượng đổi sang.</t>
  </si>
  <si>
    <t>Nhấn bên cạnh ô bất kỳ</t>
  </si>
  <si>
    <t>Nhấn X trên thẻ tag bất kỳ</t>
  </si>
  <si>
    <t>Đã chọn &gt;= 1 tình trạng</t>
  </si>
  <si>
    <t>Nhập &gt;= 8 ký tự gồm chữ + số + ký tự đặc biệt</t>
  </si>
  <si>
    <t>Hiển thị số đúng dạng </t>
  </si>
  <si>
    <t>Ba ô theo hàng ngang: mật khẩu hiện tại, mật khẩu mới, xác nhận. Mỗi ô có biểu tượng bên phải.</t>
  </si>
  <si>
    <t>API_PH03</t>
  </si>
  <si>
    <t>Lưu hồ sơ không có tên</t>
  </si>
  <si>
    <t>API_PH04</t>
  </si>
  <si>
    <t>Lưu hồ sơ thành công, cập nhật localStorage</t>
  </si>
  <si>
    <t>API_PH05</t>
  </si>
  <si>
    <t>Đổi mật khẩu sai mật khẩu hiện tại</t>
  </si>
  <si>
    <t>API_PH06</t>
  </si>
  <si>
    <t>Đã đăng nhập, mật khẩu mới khớp</t>
  </si>
  <si>
    <t>API_PH07</t>
  </si>
  <si>
    <t>Gọi GET /api/auth/profile-health</t>
  </si>
  <si>
    <t>Gửi PUT /api/auth/profile-health với fullName = ""</t>
  </si>
  <si>
    <t>Gửi PUT /api/auth/profile-health với tên và danh sách sức khỏe hợp lệ</t>
  </si>
  <si>
    <t>Gửi POST /api/auth/change-password với currentPassword sai</t>
  </si>
  <si>
    <t>Gửi POST /api/auth/change-password đúng cả 3 trường</t>
  </si>
  <si>
    <t>Gọi POST /api/auth/change-password không kèm token</t>
  </si>
  <si>
    <t>HTTP 200 - Trả về fullName, email, healthConditions (mảng), subscriptionTier, subscriptionStartedAt, subscriptionExpiresAt, isPro.</t>
  </si>
  <si>
    <t>HTTP 400 - "Họ và tên không được để trống."</t>
  </si>
  <si>
    <t>HTTP 200 - fullName và healthConditions cập nhật đúng; frontend lưu tên mới vào localStorage["userName"].</t>
  </si>
  <si>
    <t>HTTP 400 - Thông báo lỗi từ server.</t>
  </si>
  <si>
    <t>HTTP 200 - Mật khẩu được cập nhật; đăng nhập lại bằng mật khẩu mới thành công.</t>
  </si>
  <si>
    <t>Chặn khi chưa đăng nhập - đổi mật khẩu</t>
  </si>
  <si>
    <t>GUI_SHOW HỒ SƠ Y TẾ</t>
  </si>
  <si>
    <t>FUNCTION_SHOW HỒ SƠ Y TẾ</t>
  </si>
  <si>
    <t>GUI_PL01</t>
  </si>
  <si>
    <t>Khu vực tiêu đề và thanh tìm kiếm</t>
  </si>
  <si>
    <t>Nhìn phần đầu trang</t>
  </si>
  <si>
    <t>GUI_PL02</t>
  </si>
  <si>
    <t>Thông báo khi đang tải dữ liệu</t>
  </si>
  <si>
    <t>Mở tab "Địa điểm"</t>
  </si>
  <si>
    <t>Lúc API đang gọi</t>
  </si>
  <si>
    <t>GUI_PL03</t>
  </si>
  <si>
    <t>Màn hình trống (chưa có yêu thích)</t>
  </si>
  <si>
    <t>Tải xong danh sách</t>
  </si>
  <si>
    <t>Tài khoản chưa lưu địa điểm nào</t>
  </si>
  <si>
    <t>GUI_PL04</t>
  </si>
  <si>
    <t>Tiêu đề các cột trong bảng</t>
  </si>
  <si>
    <t>Nhìn hàng đầu tiên của bảng</t>
  </si>
  <si>
    <t>Có ít nhất 1 địa điểm</t>
  </si>
  <si>
    <t>GUI_PL05</t>
  </si>
  <si>
    <t>Nhãn màu AQI và PM2.5</t>
  </si>
  <si>
    <t>Nhìn vào 2 cột AQI và PM2.5</t>
  </si>
  <si>
    <t>Địa điểm có dữ liệu</t>
  </si>
  <si>
    <t>GUI_PL06</t>
  </si>
  <si>
    <t>Định dạng cột Thành phố</t>
  </si>
  <si>
    <t>Nhìn cột Thành phố</t>
  </si>
  <si>
    <t>Có chấm tròn màu xanh dương nhỏ đứng trước tên thành phố.</t>
  </si>
  <si>
    <t>GUI_PL07</t>
  </si>
  <si>
    <t>Trạng thái di chuột qua hàng (Hover)</t>
  </si>
  <si>
    <t>Rê chuột qua một hàng trong bảng</t>
  </si>
  <si>
    <t>Nền của hàng đó xám nhẹ để nổi bật.</t>
  </si>
  <si>
    <t>GUI_PL08</t>
  </si>
  <si>
    <t>Thanh phân trang</t>
  </si>
  <si>
    <t>Cuộn xuống cuối bảng</t>
  </si>
  <si>
    <t>Hiển thị: số dòng mỗi trang (Show: 15), thông tin dòng hiện tại (ví dụ: 1-15 of 20 items), các nút qua/lại và chuyển trang.</t>
  </si>
  <si>
    <t>FUNC_PL01</t>
  </si>
  <si>
    <t>Tìm kiếm theo tên trạm</t>
  </si>
  <si>
    <t>Nhập 1 phần tên trạm vào ô Tình kiếm</t>
  </si>
  <si>
    <t>Bảng tự động lọc, chỉ giữ lại các địa điểm có tên trạm khớp nội dung tìm.</t>
  </si>
  <si>
    <t>FUNC_PL02</t>
  </si>
  <si>
    <t>Tìm kiếm theo tên thành phố / tỉnh</t>
  </si>
  <si>
    <t>Nhập 1 phần tên tỉnh vào ô Tìm kiếm</t>
  </si>
  <si>
    <t>Bảng tự động lọc danh sách khớp với tên thành phố hoặc tỉnh/thành phố. Không phân biệt hoa/thường.</t>
  </si>
  <si>
    <t>FUNC_PL03</t>
  </si>
  <si>
    <t>Màn hình khi tìm không ra kết quả</t>
  </si>
  <si>
    <t>Tìm kiếm một chuỗi không tồn tại</t>
  </si>
  <si>
    <t>FUNC_PL04</t>
  </si>
  <si>
    <t>Mở menu tùy chọn (Dấu ⋮)</t>
  </si>
  <si>
    <t>Bấm vào nút ⋮ ở cuối 1 hàng</t>
  </si>
  <si>
    <t>FUNC_PL05</t>
  </si>
  <si>
    <t>Mở địa điểm sang tab khác</t>
  </si>
  <si>
    <t>FUNC_PL06</t>
  </si>
  <si>
    <t>Xóa khỏi danh sách yêu thích</t>
  </si>
  <si>
    <t>Địa điểm đó biến mất khỏi bảng; các dòng tự động đẩy lên. Nếu xóa hết sẽ hiện màn hình trống.</t>
  </si>
  <si>
    <t>FUNC_PL07</t>
  </si>
  <si>
    <t>Đổi số lượng hiện trên 1 trang</t>
  </si>
  <si>
    <t>Đổi mức xem từ 15 thành 50</t>
  </si>
  <si>
    <t>Có &gt; 15 địa điểm</t>
  </si>
  <si>
    <t>Bảng tự động hiển thị tối đa 50 hàng; thanh số trang gộp thành ít trang hơn.</t>
  </si>
  <si>
    <t>FUNC_PL08</t>
  </si>
  <si>
    <t>Chuyển trang qua / lại</t>
  </si>
  <si>
    <t>Bảng hiển thị nhóm địa điểm mới, nút trang tương ứng được tô màu xanh. Nút ‹ bị mờ (không bấm được) nếu đang ở trang 1.</t>
  </si>
  <si>
    <t>FUNC_PL09</t>
  </si>
  <si>
    <t>Nhảy nhanh tới trang chỉ định</t>
  </si>
  <si>
    <t>Nhập số vào ô "Jump"</t>
  </si>
  <si>
    <t>Ví dụ: Có 3 trang</t>
  </si>
  <si>
    <t>Cập nhật bản ghi hiển thị ngay theo số trang nhập. Nếu nhập số quá to (ví dụ: 99), nó tự giới hạn về trang cuối.</t>
  </si>
  <si>
    <t>FUNC_PL10</t>
  </si>
  <si>
    <t>Phân trang đặt về trang 1 khi tìm kiếm</t>
  </si>
  <si>
    <t>Hệ thống tự chuyển số trang hiện tại về 1.</t>
  </si>
  <si>
    <t>Chặn máy khách ẩn danh</t>
  </si>
  <si>
    <t>Tải danh sách yêu thích</t>
  </si>
  <si>
    <t>Xóa trạm yêu thích</t>
  </si>
  <si>
    <t>Trạm mang id tương ứng đang có trong yêu thích</t>
  </si>
  <si>
    <t>Xóa thành phố yêu thích</t>
  </si>
  <si>
    <t>Thành phố mang id tương ứng đang có trong yêu thích</t>
  </si>
  <si>
    <t>Báo lỗi nếu xóa mục không tồn tại</t>
  </si>
  <si>
    <t>Lọc ra 1 id không có thật trên server và gọi xóa</t>
  </si>
  <si>
    <t>Trình duyệt mở sang tab mới tới trang /tram/{id} (nếu là trạm) hoặc /thanh-pho/{slug} (nếu là thành phố).</t>
  </si>
  <si>
    <t>Gọi GET /api/favorite-places không token</t>
  </si>
  <si>
    <t>Gọi GET /api/favorite-places</t>
  </si>
  <si>
    <t>Gọi DELETE /api/favorite-places/stations/{id}</t>
  </si>
  <si>
    <t>Gọi DELETE /api/favorite-places/cities/{id}</t>
  </si>
  <si>
    <t>Menu nhỏ xổ xuống gồm 2 nút: Mở tab mới và Xóa (chữ đỏ). Nhấn ra ngoài bảng sẽ tắt menu.</t>
  </si>
  <si>
    <t>Chọn Mở tab mới trong menu ⋮</t>
  </si>
  <si>
    <t>Chọn Xóa trong menu ⋮</t>
  </si>
  <si>
    <t>Nhấn nút › hoặc ‹</t>
  </si>
  <si>
    <t>Hiển thị chữ mờ "Đang tải dữ liệu..." bên trong vùng bảng.</t>
  </si>
  <si>
    <t>Bảng trống, hiện dòng chữ: "Không tìm thấy kết quả phù hợp."</t>
  </si>
  <si>
    <t>FUNC_PL11</t>
  </si>
  <si>
    <t>FUNC_PL12</t>
  </si>
  <si>
    <t>FUNC_PL13</t>
  </si>
  <si>
    <t>FUNC_PL14</t>
  </si>
  <si>
    <t>FUNC_PL15</t>
  </si>
  <si>
    <t>Hiển thị câu: "Chưa có địa điểm yêu thích nào. Nhấn trên trang chi tiết trạm hoặc thành phố để thêm."</t>
  </si>
  <si>
    <t>Tiêu đề "Địa điểm" bên trái; thanh tìm kiếm có biểu tượng bên phải.</t>
  </si>
  <si>
    <t>Số hiển thị đậm trên nền màu nhạt tương ứng mức độ ô nhiễm (ví dụ: xanh lá cho mức Tốt, đỏ cho mức Xấu). Nếu không có dữ liệu hiện dấu "-".</t>
  </si>
  <si>
    <t>HTTP 200 - Trả về mảng JSON gộp cả Trạm (type: "station") và Thành phố (type: "city"). Được sắp xếp theo thời gian mới nhất thêm vào.</t>
  </si>
  <si>
    <t>HTTP 200 - Xác nhận "Đã xóa trạm khỏi yêu thích."</t>
  </si>
  <si>
    <t>HTTP 200 - Xác nhận "Đã xóa thành phố khỏi yêu thích."</t>
  </si>
  <si>
    <t>HTTP 404 - Trả về cảnh báo "Không tìm thấy trong yêu thích."</t>
  </si>
  <si>
    <t>Danh sách &gt;= 1 địa điểm</t>
  </si>
  <si>
    <t>Có &gt;= 2 trang</t>
  </si>
  <si>
    <t>Đang ở trang 2 -&gt; Gõ chử vào ô tìm kiếm</t>
  </si>
  <si>
    <t>Các cột: Trạm, Thành phố, Tỉnh/Thành phố, Quốc gia, AQI (VN), PM2.5, Nhiệt độ, Độ ẩm, Áp suất, Thời gian cập nhật, và một cột trống cho menu.</t>
  </si>
  <si>
    <t>GUI_SHOW ĐỊA ĐIỂM QUAN TÂM</t>
  </si>
  <si>
    <t>FUNCTION_SHOW ĐỊA ĐIỂM QUAN TÂM</t>
  </si>
  <si>
    <t>GUI_SHOW QUẢN LÝ LIÊN HỆ</t>
  </si>
  <si>
    <t>FUNCTION_SHOW QUẢN LÝ LIÊN HỆ</t>
  </si>
  <si>
    <t>GUI_SHOW KHUYẾN NGHỊ SỨC KHỎE</t>
  </si>
  <si>
    <t>FUNCTION_SHOW KHUYẾN NGHỊ SỨC KHỎE</t>
  </si>
  <si>
    <t>Báo cáo thử nghiệm</t>
  </si>
  <si>
    <t>Ứng dụng AI xây dựng hệ thống giám sát và dự báo chất lượng không khí</t>
  </si>
  <si>
    <t>Creator</t>
  </si>
  <si>
    <t>Trần Hưng</t>
  </si>
  <si>
    <t>Người đánh giá/phê duyệt</t>
  </si>
  <si>
    <t>Cả nhóm</t>
  </si>
  <si>
    <t>Ngày triển khai</t>
  </si>
  <si>
    <t>Ghi chú</t>
  </si>
  <si>
    <t>Tính năng đang chờ xử lý :</t>
  </si>
  <si>
    <t>Chưa Kiểm tra</t>
  </si>
  <si>
    <t>Bị chặn</t>
  </si>
  <si>
    <t>Số trường hợp thử nghiệm</t>
  </si>
  <si>
    <t>% Thành công</t>
  </si>
  <si>
    <t xml:space="preserve"> % Coverage</t>
  </si>
  <si>
    <t>Tên hiển thị</t>
  </si>
  <si>
    <t>Vòng 2</t>
  </si>
  <si>
    <t>Sub total</t>
  </si>
  <si>
    <t>Vòng2</t>
  </si>
  <si>
    <t>Kiểm tra phủ sóng</t>
  </si>
  <si>
    <t>%</t>
  </si>
  <si>
    <t>Kiểm tra thành công phủ sống</t>
  </si>
  <si>
    <t>Hồ sơ y tế</t>
  </si>
  <si>
    <t>Dự báo CLKK</t>
  </si>
  <si>
    <t>Luyện</t>
  </si>
  <si>
    <t>Lĩnh</t>
  </si>
  <si>
    <t>Thúy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</si>
</sst>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\-mmm\-yy;@"/>
    <numFmt numFmtId="165" formatCode="0;[Red]0"/>
  </numFmts>
  <fonts count="24">
    <font>
      <sz val="11"/>
      <color theme="1"/>
      <name val="Calibri"/>
      <family val="2"/>
      <scheme val="minor"/>
    </font>
    <font>
      <b/>
      <sz val="13"/>
      <color theme="1"/>
      <name val="Times New Roman"/>
      <family val="1"/>
    </font>
    <font>
      <sz val="13"/>
      <color theme="1"/>
      <name val="Times New Roman"/>
      <family val="1"/>
    </font>
    <font>
      <b/>
      <sz val="13"/>
      <color rgb="FFFFFFFF"/>
      <name val="Times New Roman"/>
      <family val="1"/>
    </font>
    <font>
      <b/>
      <sz val="13"/>
      <name val="Times New Roman"/>
      <family val="1"/>
    </font>
    <font>
      <sz val="13"/>
      <name val="Times New Roman"/>
      <family val="1"/>
    </font>
    <font>
      <b/>
      <sz val="13"/>
      <color indexed="9"/>
      <name val="Times New Roman"/>
      <family val="1"/>
    </font>
    <font>
      <sz val="10"/>
      <name val="Arial2"/>
    </font>
    <font>
      <sz val="13"/>
      <color indexed="63"/>
      <name val="Times New Roman"/>
      <family val="1"/>
    </font>
    <font>
      <sz val="8"/>
      <name val="Calibri"/>
      <family val="2"/>
      <scheme val="minor"/>
    </font>
    <font>
      <sz val="13"/>
      <color rgb="FFFFFFFF"/>
      <name val="Times New Roman"/>
      <family val="1"/>
    </font>
    <font>
      <sz val="13"/>
      <color indexed="9"/>
      <name val="Times New Roman"/>
      <family val="1"/>
    </font>
    <font>
      <b/>
      <sz val="20"/>
      <color theme="1"/>
      <name val="Times New Roman"/>
      <charset val="134"/>
    </font>
    <font>
      <b/>
      <sz val="10"/>
      <color theme="1"/>
      <name val="Times New Roman"/>
      <charset val="134"/>
    </font>
    <font>
      <sz val="10"/>
      <color theme="1"/>
      <name val="Times New Roman"/>
      <charset val="134"/>
    </font>
    <font>
      <b/>
      <sz val="13"/>
      <color theme="1"/>
      <name val="Times New Roman"/>
      <charset val="134"/>
    </font>
    <font>
      <sz val="11"/>
      <name val="Calibri"/>
      <charset val="134"/>
    </font>
    <font>
      <sz val="13"/>
      <color theme="1"/>
      <name val="Times New Roman"/>
      <charset val="134"/>
    </font>
    <font>
      <b/>
      <i/>
      <sz val="13"/>
      <color rgb="FF339966"/>
      <name val="Times New Roman"/>
      <charset val="134"/>
    </font>
    <font>
      <i/>
      <sz val="13"/>
      <color theme="1"/>
      <name val="Times New Roman"/>
      <charset val="134"/>
    </font>
    <font>
      <b/>
      <sz val="13"/>
      <color rgb="FFFFFFFF"/>
      <name val="Times New Roman"/>
      <charset val="134"/>
    </font>
    <font>
      <sz val="16"/>
      <color theme="1"/>
      <name val="Times New Roman"/>
      <charset val="134"/>
    </font>
    <font>
      <sz val="16"/>
      <color theme="1"/>
      <name val="Times New Roman"/>
      <family val="1"/>
    </font>
    <font>
      <sz val="13"/>
      <color rgb="FFFFFFFF"/>
      <name val="Times New Roman"/>
      <charset val="134"/>
    </font>
  </fonts>
  <fills count="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08080"/>
        <bgColor rgb="FF008080"/>
      </patternFill>
    </fill>
    <fill>
      <patternFill patternType="solid">
        <fgColor indexed="21"/>
        <bgColor indexed="38"/>
      </patternFill>
    </fill>
    <fill>
      <patternFill patternType="solid">
        <fgColor indexed="27"/>
        <bgColor indexed="41"/>
      </patternFill>
    </fill>
    <fill>
      <patternFill patternType="solid">
        <fgColor rgb="FF00B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FF"/>
        <bgColor rgb="FFFFFFFF"/>
      </patternFill>
    </fill>
  </fills>
  <borders count="3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333333"/>
      </left>
      <right style="thin">
        <color rgb="FF333333"/>
      </right>
      <top style="thin">
        <color rgb="FF333333"/>
      </top>
      <bottom style="thin">
        <color rgb="FF333333"/>
      </bottom>
      <diagonal/>
    </border>
    <border>
      <left style="thin">
        <color rgb="FF333333"/>
      </left>
      <right/>
      <top style="thin">
        <color rgb="FF333333"/>
      </top>
      <bottom style="thin">
        <color rgb="FF333333"/>
      </bottom>
      <diagonal/>
    </border>
    <border>
      <left/>
      <right style="thin">
        <color rgb="FF333333"/>
      </right>
      <top style="thin">
        <color rgb="FF333333"/>
      </top>
      <bottom style="thin">
        <color rgb="FF333333"/>
      </bottom>
      <diagonal/>
    </border>
    <border>
      <left/>
      <right/>
      <top style="thin">
        <color rgb="FF333333"/>
      </top>
      <bottom style="thin">
        <color rgb="FF333333"/>
      </bottom>
      <diagonal/>
    </border>
    <border>
      <left style="thin">
        <color rgb="FF333333"/>
      </left>
      <right style="thin">
        <color rgb="FF333333"/>
      </right>
      <top style="thin">
        <color rgb="FF333333"/>
      </top>
      <bottom/>
      <diagonal/>
    </border>
    <border>
      <left style="thin">
        <color rgb="FF333333"/>
      </left>
      <right/>
      <top style="thin">
        <color rgb="FF333333"/>
      </top>
      <bottom/>
      <diagonal/>
    </border>
    <border>
      <left/>
      <right/>
      <top style="thin">
        <color rgb="FF333333"/>
      </top>
      <bottom/>
      <diagonal/>
    </border>
    <border>
      <left/>
      <right style="thin">
        <color rgb="FF333333"/>
      </right>
      <top style="thin">
        <color rgb="FF333333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333333"/>
      </left>
      <right style="thin">
        <color rgb="FF333333"/>
      </right>
      <top style="thin">
        <color rgb="FF333333"/>
      </top>
      <bottom style="thin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 style="thin">
        <color rgb="FF000000"/>
      </right>
      <top/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/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 style="thin">
        <color rgb="FF000000"/>
      </bottom>
      <diagonal/>
    </border>
  </borders>
  <cellStyleXfs count="2">
    <xf numFmtId="0" fontId="0" fillId="0" borderId="0"/>
    <xf numFmtId="0" fontId="7" fillId="0" borderId="0" applyBorder="0" applyProtection="0">
      <alignment vertical="center"/>
    </xf>
  </cellStyleXfs>
  <cellXfs count="113">
    <xf numFmtId="0" fontId="0" fillId="0" borderId="0" xfId="0"/>
    <xf numFmtId="0" fontId="3" fillId="3" borderId="1" xfId="0" applyFont="1" applyFill="1" applyBorder="1" applyAlignment="1">
      <alignment vertical="center" wrapText="1"/>
    </xf>
    <xf numFmtId="0" fontId="5" fillId="0" borderId="0" xfId="0" applyFont="1" applyAlignment="1">
      <alignment horizontal="center" vertical="top"/>
    </xf>
    <xf numFmtId="164" fontId="5" fillId="0" borderId="0" xfId="0" applyNumberFormat="1" applyFont="1"/>
    <xf numFmtId="0" fontId="5" fillId="0" borderId="0" xfId="0" applyFont="1"/>
    <xf numFmtId="0" fontId="5" fillId="0" borderId="1" xfId="0" applyFont="1" applyBorder="1" applyAlignment="1">
      <alignment vertical="center" wrapText="1"/>
    </xf>
    <xf numFmtId="0" fontId="6" fillId="4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vertical="center" wrapText="1"/>
    </xf>
    <xf numFmtId="0" fontId="5" fillId="0" borderId="1" xfId="1" applyFont="1" applyBorder="1" applyAlignment="1" applyProtection="1">
      <alignment horizontal="center" vertical="center" wrapText="1"/>
    </xf>
    <xf numFmtId="0" fontId="5" fillId="0" borderId="1" xfId="0" applyFont="1" applyBorder="1" applyAlignment="1">
      <alignment horizontal="right" vertical="center" wrapText="1"/>
    </xf>
    <xf numFmtId="0" fontId="4" fillId="0" borderId="0" xfId="0" applyFont="1"/>
    <xf numFmtId="0" fontId="8" fillId="0" borderId="0" xfId="0" applyFont="1"/>
    <xf numFmtId="0" fontId="5" fillId="0" borderId="0" xfId="0" applyFont="1" applyAlignment="1">
      <alignment horizontal="left" vertical="top" wrapText="1"/>
    </xf>
    <xf numFmtId="0" fontId="6" fillId="4" borderId="1" xfId="0" applyFont="1" applyFill="1" applyBorder="1" applyAlignment="1">
      <alignment horizontal="center" vertical="top" wrapText="1"/>
    </xf>
    <xf numFmtId="164" fontId="6" fillId="4" borderId="1" xfId="0" applyNumberFormat="1" applyFont="1" applyFill="1" applyBorder="1" applyAlignment="1">
      <alignment horizontal="center" vertical="center" wrapText="1"/>
    </xf>
    <xf numFmtId="0" fontId="2" fillId="0" borderId="0" xfId="0" applyFont="1"/>
    <xf numFmtId="0" fontId="5" fillId="2" borderId="1" xfId="0" applyFont="1" applyFill="1" applyBorder="1" applyAlignment="1">
      <alignment vertical="top"/>
    </xf>
    <xf numFmtId="14" fontId="5" fillId="2" borderId="1" xfId="0" applyNumberFormat="1" applyFont="1" applyFill="1" applyBorder="1" applyAlignment="1">
      <alignment horizontal="left" vertical="top"/>
    </xf>
    <xf numFmtId="0" fontId="5" fillId="2" borderId="1" xfId="0" applyFont="1" applyFill="1" applyBorder="1"/>
    <xf numFmtId="14" fontId="2" fillId="0" borderId="4" xfId="0" applyNumberFormat="1" applyFont="1" applyBorder="1" applyAlignment="1">
      <alignment horizontal="left" vertical="top"/>
    </xf>
    <xf numFmtId="0" fontId="5" fillId="0" borderId="1" xfId="0" applyFont="1" applyBorder="1" applyAlignment="1">
      <alignment vertical="top"/>
    </xf>
    <xf numFmtId="0" fontId="2" fillId="6" borderId="4" xfId="0" applyFont="1" applyFill="1" applyBorder="1" applyAlignment="1">
      <alignment wrapText="1"/>
    </xf>
    <xf numFmtId="0" fontId="2" fillId="2" borderId="1" xfId="0" applyFont="1" applyFill="1" applyBorder="1" applyAlignment="1">
      <alignment horizontal="left" vertical="center" wrapText="1"/>
    </xf>
    <xf numFmtId="0" fontId="10" fillId="3" borderId="1" xfId="0" applyFont="1" applyFill="1" applyBorder="1" applyAlignment="1">
      <alignment vertical="center" wrapText="1"/>
    </xf>
    <xf numFmtId="0" fontId="11" fillId="4" borderId="1" xfId="0" applyFont="1" applyFill="1" applyBorder="1" applyAlignment="1">
      <alignment horizontal="center" vertical="center" wrapText="1"/>
    </xf>
    <xf numFmtId="0" fontId="11" fillId="4" borderId="1" xfId="0" applyFont="1" applyFill="1" applyBorder="1" applyAlignment="1">
      <alignment horizontal="center" vertical="top" wrapText="1"/>
    </xf>
    <xf numFmtId="164" fontId="11" fillId="4" borderId="1" xfId="0" applyNumberFormat="1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left" vertical="center" wrapText="1"/>
    </xf>
    <xf numFmtId="0" fontId="2" fillId="7" borderId="4" xfId="0" applyFont="1" applyFill="1" applyBorder="1" applyAlignment="1">
      <alignment wrapText="1"/>
    </xf>
    <xf numFmtId="0" fontId="13" fillId="0" borderId="0" xfId="0" applyFont="1"/>
    <xf numFmtId="0" fontId="14" fillId="0" borderId="0" xfId="0" applyFont="1"/>
    <xf numFmtId="15" fontId="14" fillId="0" borderId="0" xfId="0" applyNumberFormat="1" applyFont="1"/>
    <xf numFmtId="0" fontId="15" fillId="0" borderId="5" xfId="0" applyFont="1" applyBorder="1" applyAlignment="1">
      <alignment horizontal="center" vertical="center"/>
    </xf>
    <xf numFmtId="0" fontId="15" fillId="0" borderId="5" xfId="0" applyFont="1" applyBorder="1" applyAlignment="1">
      <alignment horizontal="center"/>
    </xf>
    <xf numFmtId="0" fontId="15" fillId="0" borderId="5" xfId="0" applyFont="1" applyBorder="1" applyAlignment="1">
      <alignment horizontal="center" vertical="top"/>
    </xf>
    <xf numFmtId="0" fontId="17" fillId="0" borderId="5" xfId="0" applyFont="1" applyBorder="1" applyAlignment="1">
      <alignment horizontal="center"/>
    </xf>
    <xf numFmtId="0" fontId="15" fillId="0" borderId="9" xfId="0" applyFont="1" applyBorder="1" applyAlignment="1">
      <alignment vertical="center"/>
    </xf>
    <xf numFmtId="0" fontId="18" fillId="0" borderId="9" xfId="0" applyFont="1" applyBorder="1" applyAlignment="1">
      <alignment vertical="top" wrapText="1"/>
    </xf>
    <xf numFmtId="0" fontId="17" fillId="0" borderId="9" xfId="0" applyFont="1" applyBorder="1" applyAlignment="1">
      <alignment wrapText="1"/>
    </xf>
    <xf numFmtId="0" fontId="15" fillId="0" borderId="13" xfId="0" applyFont="1" applyBorder="1" applyAlignment="1">
      <alignment vertical="center"/>
    </xf>
    <xf numFmtId="0" fontId="18" fillId="0" borderId="13" xfId="0" applyFont="1" applyBorder="1" applyAlignment="1">
      <alignment vertical="top" wrapText="1"/>
    </xf>
    <xf numFmtId="0" fontId="15" fillId="0" borderId="13" xfId="0" applyFont="1" applyBorder="1"/>
    <xf numFmtId="0" fontId="19" fillId="0" borderId="13" xfId="0" applyFont="1" applyBorder="1"/>
    <xf numFmtId="0" fontId="20" fillId="3" borderId="13" xfId="0" applyFont="1" applyFill="1" applyBorder="1" applyAlignment="1">
      <alignment horizontal="center" vertical="center"/>
    </xf>
    <xf numFmtId="0" fontId="20" fillId="3" borderId="13" xfId="0" applyFont="1" applyFill="1" applyBorder="1" applyAlignment="1">
      <alignment horizontal="center" vertical="center" wrapText="1"/>
    </xf>
    <xf numFmtId="0" fontId="21" fillId="0" borderId="5" xfId="0" applyFont="1" applyBorder="1" applyAlignment="1">
      <alignment horizontal="center" vertical="center"/>
    </xf>
    <xf numFmtId="0" fontId="21" fillId="0" borderId="18" xfId="0" applyFont="1" applyBorder="1" applyAlignment="1">
      <alignment horizontal="center" vertical="center" wrapText="1"/>
    </xf>
    <xf numFmtId="0" fontId="17" fillId="0" borderId="13" xfId="0" applyFont="1" applyBorder="1" applyAlignment="1">
      <alignment horizontal="center" vertical="center"/>
    </xf>
    <xf numFmtId="165" fontId="17" fillId="0" borderId="13" xfId="0" applyNumberFormat="1" applyFont="1" applyBorder="1" applyAlignment="1">
      <alignment horizontal="center" vertical="center"/>
    </xf>
    <xf numFmtId="0" fontId="21" fillId="0" borderId="5" xfId="0" applyFont="1" applyBorder="1" applyAlignment="1">
      <alignment horizontal="center" vertical="center" wrapText="1"/>
    </xf>
    <xf numFmtId="0" fontId="21" fillId="0" borderId="9" xfId="0" applyFont="1" applyBorder="1" applyAlignment="1">
      <alignment horizontal="center" vertical="center" wrapText="1"/>
    </xf>
    <xf numFmtId="0" fontId="22" fillId="0" borderId="9" xfId="0" applyFont="1" applyBorder="1" applyAlignment="1">
      <alignment horizontal="center" vertical="center" wrapText="1"/>
    </xf>
    <xf numFmtId="0" fontId="22" fillId="0" borderId="18" xfId="0" applyFont="1" applyBorder="1" applyAlignment="1">
      <alignment horizontal="center" vertical="center" wrapText="1"/>
    </xf>
    <xf numFmtId="0" fontId="17" fillId="3" borderId="13" xfId="0" applyFont="1" applyFill="1" applyBorder="1" applyAlignment="1">
      <alignment horizontal="center"/>
    </xf>
    <xf numFmtId="0" fontId="20" fillId="3" borderId="13" xfId="0" applyFont="1" applyFill="1" applyBorder="1"/>
    <xf numFmtId="165" fontId="20" fillId="3" borderId="13" xfId="0" applyNumberFormat="1" applyFont="1" applyFill="1" applyBorder="1" applyAlignment="1">
      <alignment horizontal="center"/>
    </xf>
    <xf numFmtId="0" fontId="17" fillId="8" borderId="0" xfId="0" applyFont="1" applyFill="1" applyAlignment="1">
      <alignment horizontal="center"/>
    </xf>
    <xf numFmtId="0" fontId="20" fillId="8" borderId="19" xfId="0" applyFont="1" applyFill="1" applyBorder="1"/>
    <xf numFmtId="0" fontId="15" fillId="8" borderId="20" xfId="0" applyFont="1" applyFill="1" applyBorder="1" applyAlignment="1">
      <alignment horizontal="center"/>
    </xf>
    <xf numFmtId="0" fontId="23" fillId="8" borderId="21" xfId="0" applyFont="1" applyFill="1" applyBorder="1" applyAlignment="1">
      <alignment horizontal="center"/>
    </xf>
    <xf numFmtId="0" fontId="23" fillId="8" borderId="0" xfId="0" applyFont="1" applyFill="1" applyAlignment="1">
      <alignment horizontal="center"/>
    </xf>
    <xf numFmtId="0" fontId="20" fillId="8" borderId="0" xfId="0" applyFont="1" applyFill="1" applyAlignment="1">
      <alignment horizontal="center"/>
    </xf>
    <xf numFmtId="9" fontId="23" fillId="8" borderId="0" xfId="0" applyNumberFormat="1" applyFont="1" applyFill="1" applyAlignment="1">
      <alignment horizontal="center"/>
    </xf>
    <xf numFmtId="9" fontId="23" fillId="8" borderId="22" xfId="0" applyNumberFormat="1" applyFont="1" applyFill="1" applyBorder="1" applyAlignment="1">
      <alignment horizontal="center"/>
    </xf>
    <xf numFmtId="0" fontId="17" fillId="0" borderId="0" xfId="0" applyFont="1"/>
    <xf numFmtId="0" fontId="15" fillId="0" borderId="23" xfId="0" applyFont="1" applyBorder="1" applyAlignment="1">
      <alignment horizontal="left"/>
    </xf>
    <xf numFmtId="0" fontId="17" fillId="0" borderId="24" xfId="0" applyFont="1" applyBorder="1"/>
    <xf numFmtId="2" fontId="15" fillId="0" borderId="25" xfId="0" applyNumberFormat="1" applyFont="1" applyBorder="1" applyAlignment="1">
      <alignment horizontal="right" wrapText="1"/>
    </xf>
    <xf numFmtId="0" fontId="17" fillId="0" borderId="0" xfId="0" applyFont="1" applyAlignment="1">
      <alignment vertical="center"/>
    </xf>
    <xf numFmtId="0" fontId="17" fillId="0" borderId="0" xfId="0" applyFont="1" applyAlignment="1">
      <alignment horizontal="center" wrapText="1"/>
    </xf>
    <xf numFmtId="0" fontId="17" fillId="0" borderId="22" xfId="0" applyFont="1" applyBorder="1" applyAlignment="1">
      <alignment horizontal="center" wrapText="1"/>
    </xf>
    <xf numFmtId="0" fontId="17" fillId="0" borderId="26" xfId="0" applyFont="1" applyBorder="1"/>
    <xf numFmtId="0" fontId="15" fillId="0" borderId="27" xfId="0" applyFont="1" applyBorder="1" applyAlignment="1">
      <alignment horizontal="left"/>
    </xf>
    <xf numFmtId="0" fontId="17" fillId="0" borderId="28" xfId="0" applyFont="1" applyBorder="1"/>
    <xf numFmtId="2" fontId="15" fillId="0" borderId="29" xfId="0" applyNumberFormat="1" applyFont="1" applyBorder="1" applyAlignment="1">
      <alignment horizontal="right" wrapText="1"/>
    </xf>
    <xf numFmtId="0" fontId="17" fillId="0" borderId="26" xfId="0" applyFont="1" applyBorder="1" applyAlignment="1">
      <alignment vertical="center"/>
    </xf>
    <xf numFmtId="0" fontId="17" fillId="0" borderId="26" xfId="0" applyFont="1" applyBorder="1" applyAlignment="1">
      <alignment horizontal="center" wrapText="1"/>
    </xf>
    <xf numFmtId="0" fontId="17" fillId="0" borderId="17" xfId="0" applyFont="1" applyBorder="1" applyAlignment="1">
      <alignment horizontal="center" wrapText="1"/>
    </xf>
    <xf numFmtId="0" fontId="17" fillId="0" borderId="6" xfId="0" applyFont="1" applyBorder="1" applyAlignment="1">
      <alignment horizontal="center"/>
    </xf>
    <xf numFmtId="0" fontId="16" fillId="0" borderId="7" xfId="0" applyFont="1" applyBorder="1"/>
    <xf numFmtId="0" fontId="15" fillId="0" borderId="6" xfId="0" applyFont="1" applyBorder="1" applyAlignment="1">
      <alignment horizontal="left"/>
    </xf>
    <xf numFmtId="0" fontId="16" fillId="0" borderId="8" xfId="0" applyFont="1" applyBorder="1"/>
    <xf numFmtId="14" fontId="17" fillId="0" borderId="6" xfId="0" applyNumberFormat="1" applyFont="1" applyBorder="1" applyAlignment="1">
      <alignment horizontal="center"/>
    </xf>
    <xf numFmtId="14" fontId="16" fillId="0" borderId="8" xfId="0" applyNumberFormat="1" applyFont="1" applyBorder="1"/>
    <xf numFmtId="14" fontId="16" fillId="0" borderId="7" xfId="0" applyNumberFormat="1" applyFont="1" applyBorder="1"/>
    <xf numFmtId="15" fontId="15" fillId="0" borderId="14" xfId="0" applyNumberFormat="1" applyFont="1" applyBorder="1" applyAlignment="1">
      <alignment horizontal="center" vertical="center"/>
    </xf>
    <xf numFmtId="0" fontId="16" fillId="0" borderId="15" xfId="0" applyFont="1" applyBorder="1"/>
    <xf numFmtId="0" fontId="16" fillId="0" borderId="16" xfId="0" applyFont="1" applyBorder="1"/>
    <xf numFmtId="0" fontId="16" fillId="0" borderId="17" xfId="0" applyFont="1" applyBorder="1"/>
    <xf numFmtId="0" fontId="15" fillId="0" borderId="14" xfId="0" applyFont="1" applyBorder="1" applyAlignment="1">
      <alignment horizontal="center" vertical="center"/>
    </xf>
    <xf numFmtId="0" fontId="16" fillId="0" borderId="15" xfId="0" applyFont="1" applyBorder="1" applyAlignment="1">
      <alignment horizontal="center" vertical="center"/>
    </xf>
    <xf numFmtId="0" fontId="16" fillId="0" borderId="16" xfId="0" applyFont="1" applyBorder="1" applyAlignment="1">
      <alignment horizontal="center" vertical="center"/>
    </xf>
    <xf numFmtId="0" fontId="16" fillId="0" borderId="17" xfId="0" applyFont="1" applyBorder="1" applyAlignment="1">
      <alignment horizontal="center" vertical="center"/>
    </xf>
    <xf numFmtId="0" fontId="18" fillId="0" borderId="10" xfId="0" applyFont="1" applyBorder="1" applyAlignment="1">
      <alignment vertical="top" wrapText="1"/>
    </xf>
    <xf numFmtId="0" fontId="16" fillId="0" borderId="11" xfId="0" applyFont="1" applyBorder="1"/>
    <xf numFmtId="0" fontId="16" fillId="0" borderId="12" xfId="0" applyFont="1" applyBorder="1"/>
    <xf numFmtId="0" fontId="12" fillId="0" borderId="0" xfId="0" applyFont="1" applyAlignment="1">
      <alignment horizontal="center"/>
    </xf>
    <xf numFmtId="0" fontId="0" fillId="0" borderId="0" xfId="0"/>
    <xf numFmtId="0" fontId="1" fillId="0" borderId="6" xfId="0" applyFont="1" applyBorder="1" applyAlignment="1">
      <alignment horizontal="center" wrapText="1"/>
    </xf>
    <xf numFmtId="0" fontId="16" fillId="0" borderId="7" xfId="0" applyFont="1" applyBorder="1" applyAlignment="1">
      <alignment wrapText="1"/>
    </xf>
    <xf numFmtId="0" fontId="1" fillId="0" borderId="6" xfId="0" applyFont="1" applyBorder="1" applyAlignment="1">
      <alignment horizontal="center" vertical="top"/>
    </xf>
    <xf numFmtId="0" fontId="15" fillId="0" borderId="6" xfId="0" applyFont="1" applyBorder="1" applyAlignment="1">
      <alignment horizontal="center"/>
    </xf>
    <xf numFmtId="0" fontId="4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horizontal="left" vertical="center" wrapText="1"/>
    </xf>
    <xf numFmtId="0" fontId="6" fillId="4" borderId="1" xfId="0" applyFont="1" applyFill="1" applyBorder="1" applyAlignment="1">
      <alignment horizontal="center" vertical="center" wrapText="1"/>
    </xf>
    <xf numFmtId="0" fontId="4" fillId="5" borderId="2" xfId="0" applyFont="1" applyFill="1" applyBorder="1" applyAlignment="1">
      <alignment vertical="center"/>
    </xf>
    <xf numFmtId="0" fontId="4" fillId="5" borderId="3" xfId="0" applyFont="1" applyFill="1" applyBorder="1" applyAlignment="1">
      <alignment vertical="center"/>
    </xf>
    <xf numFmtId="0" fontId="4" fillId="5" borderId="3" xfId="0" applyFont="1" applyFill="1" applyBorder="1" applyAlignment="1">
      <alignment horizontal="left" vertical="center"/>
    </xf>
    <xf numFmtId="0" fontId="4" fillId="5" borderId="2" xfId="0" applyFont="1" applyFill="1" applyBorder="1" applyAlignment="1">
      <alignment horizontal="left" vertical="center"/>
    </xf>
    <xf numFmtId="0" fontId="4" fillId="5" borderId="1" xfId="0" applyFont="1" applyFill="1" applyBorder="1" applyAlignment="1">
      <alignment horizontal="left" vertical="center"/>
    </xf>
    <xf numFmtId="0" fontId="4" fillId="5" borderId="1" xfId="0" applyFont="1" applyFill="1" applyBorder="1" applyAlignment="1">
      <alignment vertical="center"/>
    </xf>
    <xf numFmtId="0" fontId="11" fillId="4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left" vertical="center" wrapText="1"/>
    </xf>
  </cellXfs>
  <cellStyles count="2">
    <cellStyle name="Normal" xfId="0" builtinId="0"/>
    <cellStyle name="Normal 10" xfId="1" xr:uid="{ABAD5C77-951C-43C8-9C7D-AFF39458475F}"/>
  </cellStyles>
  <dxfs count="48">
    <dxf>
      <font>
        <color rgb="FF006100"/>
      </font>
      <fill>
        <patternFill>
          <bgColor rgb="FFC6EFCE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fgColor rgb="FF00B050"/>
          <bgColor rgb="FF00B050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fgColor rgb="FF00B050"/>
          <bgColor rgb="FF00B050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fgColor rgb="FF00B050"/>
          <bgColor rgb="FF00B050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fgColor rgb="FF00B050"/>
          <bgColor rgb="FF00B050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fgColor rgb="FF00B050"/>
          <bgColor rgb="FF00B050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fgColor rgb="FF00B050"/>
          <bgColor rgb="FF00B050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fgColor rgb="FF00B050"/>
          <bgColor rgb="FF00B050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fgColor rgb="FF00B050"/>
          <bgColor rgb="FF00B050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fgColor rgb="FF00B050"/>
          <bgColor rgb="FF00B050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fgColor rgb="FF00B050"/>
          <bgColor rgb="FF00B050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fgColor rgb="FF00B050"/>
          <bgColor rgb="FF00B050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fgColor rgb="FF00B050"/>
          <bgColor rgb="FF00B05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24"/>
  <sheetViews>
    <sheetView workbookViewId="0">
      <selection activeCell="B6" sqref="B6:K6"/>
    </sheetView>
  </sheetViews>
  <sheetFormatPr defaultRowHeight="14.4"/>
  <cols>
    <col min="1" max="1" width="11.44140625" bestFit="1" customWidth="1"/>
    <col min="2" max="2" width="33.33203125" bestFit="1" customWidth="1"/>
    <col min="3" max="6" width="8.5546875" bestFit="1" customWidth="1"/>
    <col min="7" max="7" width="10.44140625" customWidth="1"/>
    <col min="8" max="8" width="9.88671875" customWidth="1"/>
    <col min="9" max="10" width="8.5546875" bestFit="1" customWidth="1"/>
    <col min="11" max="11" width="16.33203125" customWidth="1"/>
    <col min="12" max="12" width="17" customWidth="1"/>
    <col min="13" max="16" width="8.5546875" bestFit="1" customWidth="1"/>
  </cols>
  <sheetData>
    <row r="1" spans="1:16" ht="24.6">
      <c r="A1" s="96" t="s">
        <v>1103</v>
      </c>
      <c r="B1" s="97"/>
      <c r="C1" s="97"/>
      <c r="D1" s="97"/>
      <c r="E1" s="97"/>
      <c r="F1" s="97"/>
      <c r="G1" s="97"/>
      <c r="H1" s="97"/>
      <c r="I1" s="97"/>
      <c r="J1" s="97"/>
      <c r="K1" s="97"/>
      <c r="L1" s="97"/>
      <c r="M1" s="97"/>
      <c r="N1" s="97"/>
      <c r="O1" s="97"/>
      <c r="P1" s="97"/>
    </row>
    <row r="2" spans="1:16">
      <c r="A2" s="29"/>
      <c r="B2" s="30"/>
      <c r="C2" s="30"/>
      <c r="D2" s="30"/>
      <c r="E2" s="30"/>
      <c r="F2" s="30"/>
      <c r="G2" s="30"/>
      <c r="H2" s="30"/>
      <c r="I2" s="30"/>
      <c r="J2" s="30"/>
      <c r="K2" s="30"/>
      <c r="L2" s="30"/>
      <c r="M2" s="31"/>
      <c r="N2" s="31"/>
      <c r="O2" s="31"/>
      <c r="P2" s="31"/>
    </row>
    <row r="3" spans="1:16" ht="16.8" customHeight="1">
      <c r="A3" s="32" t="s">
        <v>0</v>
      </c>
      <c r="B3" s="98" t="s">
        <v>1104</v>
      </c>
      <c r="C3" s="99"/>
      <c r="D3" s="33"/>
      <c r="E3" s="80" t="s">
        <v>1105</v>
      </c>
      <c r="F3" s="81"/>
      <c r="G3" s="79"/>
      <c r="H3" s="100" t="s">
        <v>1106</v>
      </c>
      <c r="I3" s="81"/>
      <c r="J3" s="81"/>
      <c r="K3" s="79"/>
      <c r="L3" s="34"/>
      <c r="M3" s="34"/>
      <c r="N3" s="34"/>
      <c r="O3" s="34"/>
      <c r="P3" s="34"/>
    </row>
    <row r="4" spans="1:16" ht="16.8">
      <c r="A4" s="32"/>
      <c r="B4" s="78"/>
      <c r="C4" s="79"/>
      <c r="D4" s="35"/>
      <c r="E4" s="80" t="s">
        <v>1107</v>
      </c>
      <c r="F4" s="81"/>
      <c r="G4" s="79"/>
      <c r="H4" s="101" t="s">
        <v>1108</v>
      </c>
      <c r="I4" s="81"/>
      <c r="J4" s="81"/>
      <c r="K4" s="79"/>
      <c r="L4" s="35"/>
      <c r="M4" s="34"/>
      <c r="N4" s="34"/>
      <c r="O4" s="34"/>
      <c r="P4" s="34"/>
    </row>
    <row r="5" spans="1:16" ht="16.8">
      <c r="A5" s="32"/>
      <c r="B5" s="78"/>
      <c r="C5" s="79"/>
      <c r="D5" s="35"/>
      <c r="E5" s="80" t="s">
        <v>1109</v>
      </c>
      <c r="F5" s="81"/>
      <c r="G5" s="79"/>
      <c r="H5" s="82">
        <v>46119</v>
      </c>
      <c r="I5" s="83"/>
      <c r="J5" s="83"/>
      <c r="K5" s="84"/>
      <c r="L5" s="35"/>
      <c r="M5" s="34"/>
      <c r="N5" s="34"/>
      <c r="O5" s="34"/>
      <c r="P5" s="34"/>
    </row>
    <row r="6" spans="1:16" ht="16.8">
      <c r="A6" s="36" t="s">
        <v>1110</v>
      </c>
      <c r="B6" s="93" t="s">
        <v>1111</v>
      </c>
      <c r="C6" s="94"/>
      <c r="D6" s="94"/>
      <c r="E6" s="94"/>
      <c r="F6" s="94"/>
      <c r="G6" s="94"/>
      <c r="H6" s="94"/>
      <c r="I6" s="94"/>
      <c r="J6" s="94"/>
      <c r="K6" s="95"/>
      <c r="L6" s="37"/>
      <c r="M6" s="38"/>
      <c r="N6" s="38"/>
      <c r="O6" s="38"/>
      <c r="P6" s="38"/>
    </row>
    <row r="7" spans="1:16" ht="16.8">
      <c r="A7" s="39"/>
      <c r="B7" s="40"/>
      <c r="C7" s="89" t="s">
        <v>6</v>
      </c>
      <c r="D7" s="86"/>
      <c r="E7" s="89" t="s">
        <v>7</v>
      </c>
      <c r="F7" s="86"/>
      <c r="G7" s="89" t="s">
        <v>1112</v>
      </c>
      <c r="H7" s="86"/>
      <c r="I7" s="89" t="s">
        <v>1113</v>
      </c>
      <c r="J7" s="86"/>
      <c r="K7" s="89" t="s">
        <v>1114</v>
      </c>
      <c r="L7" s="86"/>
      <c r="M7" s="85" t="s">
        <v>1115</v>
      </c>
      <c r="N7" s="86"/>
      <c r="O7" s="89" t="s">
        <v>1116</v>
      </c>
      <c r="P7" s="90"/>
    </row>
    <row r="8" spans="1:16" ht="16.8">
      <c r="A8" s="41"/>
      <c r="B8" s="42"/>
      <c r="C8" s="87"/>
      <c r="D8" s="88"/>
      <c r="E8" s="87"/>
      <c r="F8" s="88"/>
      <c r="G8" s="87"/>
      <c r="H8" s="88"/>
      <c r="I8" s="87"/>
      <c r="J8" s="88"/>
      <c r="K8" s="87"/>
      <c r="L8" s="88"/>
      <c r="M8" s="87"/>
      <c r="N8" s="88"/>
      <c r="O8" s="91"/>
      <c r="P8" s="92"/>
    </row>
    <row r="9" spans="1:16" ht="16.8">
      <c r="A9" s="43" t="s">
        <v>2</v>
      </c>
      <c r="B9" s="43" t="s">
        <v>1117</v>
      </c>
      <c r="C9" s="44" t="s">
        <v>20</v>
      </c>
      <c r="D9" s="44" t="s">
        <v>1118</v>
      </c>
      <c r="E9" s="44" t="s">
        <v>20</v>
      </c>
      <c r="F9" s="44" t="s">
        <v>1118</v>
      </c>
      <c r="G9" s="44" t="s">
        <v>20</v>
      </c>
      <c r="H9" s="44" t="s">
        <v>1118</v>
      </c>
      <c r="I9" s="43" t="s">
        <v>20</v>
      </c>
      <c r="J9" s="44" t="s">
        <v>1118</v>
      </c>
      <c r="K9" s="44" t="s">
        <v>20</v>
      </c>
      <c r="L9" s="44" t="s">
        <v>1118</v>
      </c>
      <c r="M9" s="44" t="s">
        <v>20</v>
      </c>
      <c r="N9" s="44" t="s">
        <v>1118</v>
      </c>
      <c r="O9" s="44" t="s">
        <v>20</v>
      </c>
      <c r="P9" s="44" t="s">
        <v>1118</v>
      </c>
    </row>
    <row r="10" spans="1:16" ht="21">
      <c r="A10" s="45">
        <v>1</v>
      </c>
      <c r="B10" s="46" t="s">
        <v>1124</v>
      </c>
      <c r="C10" s="47">
        <v>29</v>
      </c>
      <c r="D10" s="47">
        <v>0</v>
      </c>
      <c r="E10" s="47">
        <v>0</v>
      </c>
      <c r="F10" s="47">
        <v>0</v>
      </c>
      <c r="G10" s="47">
        <v>0</v>
      </c>
      <c r="H10" s="47">
        <v>0</v>
      </c>
      <c r="I10" s="47">
        <v>0</v>
      </c>
      <c r="J10" s="47">
        <v>0</v>
      </c>
      <c r="K10" s="47">
        <v>29</v>
      </c>
      <c r="L10" s="47">
        <v>0</v>
      </c>
      <c r="M10" s="48">
        <f>IFERROR(ROUND(C10*100/K10,1), "0")</f>
        <v>100</v>
      </c>
      <c r="N10" s="48" t="str">
        <f t="shared" ref="N10:N20" si="0">IFERROR(ROUND(D10*100/L10,1), "0")</f>
        <v>0</v>
      </c>
      <c r="O10" s="48">
        <f>IFERROR(ROUND((C10+E10)*100/K10,1), "0")</f>
        <v>100</v>
      </c>
      <c r="P10" s="48" t="str">
        <f>IFERROR(ROUND((D10+F10)*100/L10,1), "0")</f>
        <v>0</v>
      </c>
    </row>
    <row r="11" spans="1:16" ht="21">
      <c r="A11" s="45">
        <v>2</v>
      </c>
      <c r="B11" s="46" t="s">
        <v>1125</v>
      </c>
      <c r="C11" s="47">
        <v>0</v>
      </c>
      <c r="D11" s="47">
        <v>0</v>
      </c>
      <c r="E11" s="47">
        <v>0</v>
      </c>
      <c r="F11" s="47">
        <v>0</v>
      </c>
      <c r="G11" s="47">
        <v>0</v>
      </c>
      <c r="H11" s="47">
        <v>0</v>
      </c>
      <c r="I11" s="47">
        <v>0</v>
      </c>
      <c r="J11" s="47">
        <v>0</v>
      </c>
      <c r="K11" s="47">
        <v>0</v>
      </c>
      <c r="L11" s="47">
        <v>0</v>
      </c>
      <c r="M11" s="48" t="str">
        <f t="shared" ref="M11:M20" si="1">IFERROR(ROUND(C11*100/K11,1), "0")</f>
        <v>0</v>
      </c>
      <c r="N11" s="48" t="str">
        <f t="shared" si="0"/>
        <v>0</v>
      </c>
      <c r="O11" s="48" t="str">
        <f t="shared" ref="O11:P20" si="2">IFERROR(ROUND((C11+E11)*100/K11,1), "0")</f>
        <v>0</v>
      </c>
      <c r="P11" s="48" t="str">
        <f t="shared" si="2"/>
        <v>0</v>
      </c>
    </row>
    <row r="12" spans="1:16" ht="21">
      <c r="A12" s="45">
        <v>3</v>
      </c>
      <c r="B12" s="49" t="s">
        <v>845</v>
      </c>
      <c r="C12" s="47">
        <v>30</v>
      </c>
      <c r="D12" s="47">
        <v>0</v>
      </c>
      <c r="E12" s="47">
        <v>0</v>
      </c>
      <c r="F12" s="47">
        <v>0</v>
      </c>
      <c r="G12" s="47">
        <v>0</v>
      </c>
      <c r="H12" s="47">
        <v>0</v>
      </c>
      <c r="I12" s="47">
        <v>0</v>
      </c>
      <c r="J12" s="47">
        <v>0</v>
      </c>
      <c r="K12" s="47">
        <v>30</v>
      </c>
      <c r="L12" s="47">
        <v>0</v>
      </c>
      <c r="M12" s="48">
        <f t="shared" si="1"/>
        <v>100</v>
      </c>
      <c r="N12" s="48" t="str">
        <f t="shared" si="0"/>
        <v>0</v>
      </c>
      <c r="O12" s="48">
        <f t="shared" si="2"/>
        <v>100</v>
      </c>
      <c r="P12" s="48" t="str">
        <f t="shared" si="2"/>
        <v>0</v>
      </c>
    </row>
    <row r="13" spans="1:16" ht="21">
      <c r="A13" s="45">
        <v>4</v>
      </c>
      <c r="B13" s="50" t="s">
        <v>667</v>
      </c>
      <c r="C13" s="47">
        <v>23</v>
      </c>
      <c r="D13" s="47">
        <v>0</v>
      </c>
      <c r="E13" s="47">
        <v>0</v>
      </c>
      <c r="F13" s="47">
        <v>0</v>
      </c>
      <c r="G13" s="47">
        <v>0</v>
      </c>
      <c r="H13" s="47">
        <v>0</v>
      </c>
      <c r="I13" s="47">
        <v>0</v>
      </c>
      <c r="J13" s="47">
        <v>0</v>
      </c>
      <c r="K13" s="47">
        <v>23</v>
      </c>
      <c r="L13" s="47">
        <v>0</v>
      </c>
      <c r="M13" s="48">
        <f t="shared" si="1"/>
        <v>100</v>
      </c>
      <c r="N13" s="48" t="str">
        <f t="shared" si="0"/>
        <v>0</v>
      </c>
      <c r="O13" s="48">
        <f t="shared" si="2"/>
        <v>100</v>
      </c>
      <c r="P13" s="48" t="str">
        <f t="shared" si="2"/>
        <v>0</v>
      </c>
    </row>
    <row r="14" spans="1:16" ht="21">
      <c r="A14" s="45">
        <v>5</v>
      </c>
      <c r="B14" s="51" t="s">
        <v>485</v>
      </c>
      <c r="C14" s="47">
        <v>30</v>
      </c>
      <c r="D14" s="47">
        <v>0</v>
      </c>
      <c r="E14" s="47">
        <v>0</v>
      </c>
      <c r="F14" s="47">
        <v>0</v>
      </c>
      <c r="G14" s="47">
        <v>0</v>
      </c>
      <c r="H14" s="47">
        <v>0</v>
      </c>
      <c r="I14" s="47">
        <v>0</v>
      </c>
      <c r="J14" s="47">
        <v>0</v>
      </c>
      <c r="K14" s="47">
        <v>30</v>
      </c>
      <c r="L14" s="47">
        <v>0</v>
      </c>
      <c r="M14" s="48">
        <f t="shared" si="1"/>
        <v>100</v>
      </c>
      <c r="N14" s="48" t="str">
        <f t="shared" si="0"/>
        <v>0</v>
      </c>
      <c r="O14" s="48">
        <f t="shared" si="2"/>
        <v>100</v>
      </c>
      <c r="P14" s="48" t="str">
        <f t="shared" si="2"/>
        <v>0</v>
      </c>
    </row>
    <row r="15" spans="1:16" ht="21">
      <c r="A15" s="45">
        <v>6</v>
      </c>
      <c r="B15" s="51" t="s">
        <v>358</v>
      </c>
      <c r="C15" s="47">
        <v>25</v>
      </c>
      <c r="D15" s="47">
        <v>0</v>
      </c>
      <c r="E15" s="47">
        <v>0</v>
      </c>
      <c r="F15" s="47">
        <v>0</v>
      </c>
      <c r="G15" s="47">
        <v>0</v>
      </c>
      <c r="H15" s="47">
        <v>0</v>
      </c>
      <c r="I15" s="47">
        <v>0</v>
      </c>
      <c r="J15" s="47">
        <v>0</v>
      </c>
      <c r="K15" s="47">
        <v>25</v>
      </c>
      <c r="L15" s="47">
        <v>0</v>
      </c>
      <c r="M15" s="48">
        <f t="shared" si="1"/>
        <v>100</v>
      </c>
      <c r="N15" s="48" t="str">
        <f t="shared" si="0"/>
        <v>0</v>
      </c>
      <c r="O15" s="48">
        <f t="shared" si="2"/>
        <v>100</v>
      </c>
      <c r="P15" s="48" t="str">
        <f t="shared" si="2"/>
        <v>0</v>
      </c>
    </row>
    <row r="16" spans="1:16" ht="21">
      <c r="A16" s="45">
        <v>7</v>
      </c>
      <c r="B16" s="52" t="s">
        <v>586</v>
      </c>
      <c r="C16" s="47">
        <v>24</v>
      </c>
      <c r="D16" s="47">
        <v>0</v>
      </c>
      <c r="E16" s="47">
        <v>0</v>
      </c>
      <c r="F16" s="47">
        <v>0</v>
      </c>
      <c r="G16" s="47">
        <v>0</v>
      </c>
      <c r="H16" s="47">
        <v>0</v>
      </c>
      <c r="I16" s="47">
        <v>0</v>
      </c>
      <c r="J16" s="47">
        <v>0</v>
      </c>
      <c r="K16" s="47">
        <v>24</v>
      </c>
      <c r="L16" s="47">
        <v>0</v>
      </c>
      <c r="M16" s="48">
        <f t="shared" si="1"/>
        <v>100</v>
      </c>
      <c r="N16" s="48" t="str">
        <f t="shared" si="0"/>
        <v>0</v>
      </c>
      <c r="O16" s="48">
        <f t="shared" si="2"/>
        <v>100</v>
      </c>
      <c r="P16" s="48" t="str">
        <f t="shared" si="2"/>
        <v>0</v>
      </c>
    </row>
    <row r="17" spans="1:16" ht="21">
      <c r="A17" s="45"/>
      <c r="B17" s="52" t="s">
        <v>655</v>
      </c>
      <c r="C17" s="47">
        <v>15</v>
      </c>
      <c r="D17" s="47">
        <v>0</v>
      </c>
      <c r="E17" s="47">
        <v>0</v>
      </c>
      <c r="F17" s="47">
        <v>0</v>
      </c>
      <c r="G17" s="47">
        <v>0</v>
      </c>
      <c r="H17" s="47">
        <v>0</v>
      </c>
      <c r="I17" s="47">
        <v>0</v>
      </c>
      <c r="J17" s="47">
        <v>0</v>
      </c>
      <c r="K17" s="47">
        <v>15</v>
      </c>
      <c r="L17" s="47">
        <v>0</v>
      </c>
      <c r="M17" s="48">
        <f t="shared" si="1"/>
        <v>100</v>
      </c>
      <c r="N17" s="48" t="str">
        <f t="shared" si="0"/>
        <v>0</v>
      </c>
      <c r="O17" s="48">
        <f t="shared" si="2"/>
        <v>100</v>
      </c>
      <c r="P17" s="48" t="str">
        <f t="shared" si="2"/>
        <v>0</v>
      </c>
    </row>
    <row r="18" spans="1:16" ht="21">
      <c r="A18" s="45">
        <v>8</v>
      </c>
      <c r="B18" s="52" t="s">
        <v>118</v>
      </c>
      <c r="C18" s="47">
        <v>18</v>
      </c>
      <c r="D18" s="47">
        <v>0</v>
      </c>
      <c r="E18" s="47">
        <v>0</v>
      </c>
      <c r="F18" s="47">
        <v>0</v>
      </c>
      <c r="G18" s="47">
        <v>0</v>
      </c>
      <c r="H18" s="47">
        <v>0</v>
      </c>
      <c r="I18" s="47">
        <v>0</v>
      </c>
      <c r="J18" s="47">
        <v>0</v>
      </c>
      <c r="K18" s="47">
        <v>18</v>
      </c>
      <c r="L18" s="47">
        <v>0</v>
      </c>
      <c r="M18" s="48">
        <f t="shared" si="1"/>
        <v>100</v>
      </c>
      <c r="N18" s="48" t="str">
        <f t="shared" si="0"/>
        <v>0</v>
      </c>
      <c r="O18" s="48">
        <f t="shared" si="2"/>
        <v>100</v>
      </c>
      <c r="P18" s="48" t="str">
        <f t="shared" si="2"/>
        <v>0</v>
      </c>
    </row>
    <row r="19" spans="1:16" ht="21">
      <c r="A19" s="45">
        <v>9</v>
      </c>
      <c r="B19" s="52" t="s">
        <v>668</v>
      </c>
      <c r="C19" s="47">
        <v>22</v>
      </c>
      <c r="D19" s="47">
        <v>0</v>
      </c>
      <c r="E19" s="47">
        <v>0</v>
      </c>
      <c r="F19" s="47">
        <v>0</v>
      </c>
      <c r="G19" s="47">
        <v>0</v>
      </c>
      <c r="H19" s="47">
        <v>0</v>
      </c>
      <c r="I19" s="47">
        <v>0</v>
      </c>
      <c r="J19" s="47">
        <v>0</v>
      </c>
      <c r="K19" s="47">
        <v>22</v>
      </c>
      <c r="L19" s="47">
        <v>0</v>
      </c>
      <c r="M19" s="48">
        <f t="shared" si="1"/>
        <v>100</v>
      </c>
      <c r="N19" s="48" t="str">
        <f t="shared" si="0"/>
        <v>0</v>
      </c>
      <c r="O19" s="48">
        <f t="shared" si="2"/>
        <v>100</v>
      </c>
      <c r="P19" s="48" t="str">
        <f t="shared" si="2"/>
        <v>0</v>
      </c>
    </row>
    <row r="20" spans="1:16" ht="21">
      <c r="A20" s="45">
        <v>10</v>
      </c>
      <c r="B20" s="52" t="s">
        <v>669</v>
      </c>
      <c r="C20" s="47">
        <v>0</v>
      </c>
      <c r="D20" s="47">
        <v>0</v>
      </c>
      <c r="E20" s="47">
        <v>0</v>
      </c>
      <c r="F20" s="47">
        <v>0</v>
      </c>
      <c r="G20" s="47">
        <v>0</v>
      </c>
      <c r="H20" s="47">
        <v>0</v>
      </c>
      <c r="I20" s="47">
        <v>0</v>
      </c>
      <c r="J20" s="47">
        <v>0</v>
      </c>
      <c r="K20" s="47">
        <v>0</v>
      </c>
      <c r="L20" s="47">
        <v>0</v>
      </c>
      <c r="M20" s="48" t="str">
        <f t="shared" si="1"/>
        <v>0</v>
      </c>
      <c r="N20" s="48" t="str">
        <f t="shared" si="0"/>
        <v>0</v>
      </c>
      <c r="O20" s="48" t="str">
        <f t="shared" si="2"/>
        <v>0</v>
      </c>
      <c r="P20" s="48" t="str">
        <f t="shared" si="2"/>
        <v>0</v>
      </c>
    </row>
    <row r="21" spans="1:16" ht="16.8">
      <c r="A21" s="53"/>
      <c r="B21" s="54" t="s">
        <v>1119</v>
      </c>
      <c r="C21" s="55">
        <f t="shared" ref="C21:P21" si="3">SUM(C10:C20)</f>
        <v>216</v>
      </c>
      <c r="D21" s="55">
        <f t="shared" si="3"/>
        <v>0</v>
      </c>
      <c r="E21" s="55">
        <f t="shared" si="3"/>
        <v>0</v>
      </c>
      <c r="F21" s="55">
        <f t="shared" si="3"/>
        <v>0</v>
      </c>
      <c r="G21" s="55">
        <f t="shared" si="3"/>
        <v>0</v>
      </c>
      <c r="H21" s="55">
        <f t="shared" si="3"/>
        <v>0</v>
      </c>
      <c r="I21" s="55">
        <f t="shared" si="3"/>
        <v>0</v>
      </c>
      <c r="J21" s="55">
        <f t="shared" si="3"/>
        <v>0</v>
      </c>
      <c r="K21" s="55">
        <f t="shared" si="3"/>
        <v>216</v>
      </c>
      <c r="L21" s="55">
        <f t="shared" si="3"/>
        <v>0</v>
      </c>
      <c r="M21" s="55">
        <f t="shared" si="3"/>
        <v>900</v>
      </c>
      <c r="N21" s="55">
        <f t="shared" si="3"/>
        <v>0</v>
      </c>
      <c r="O21" s="55">
        <f t="shared" si="3"/>
        <v>900</v>
      </c>
      <c r="P21" s="55">
        <f t="shared" si="3"/>
        <v>0</v>
      </c>
    </row>
    <row r="22" spans="1:16" ht="17.399999999999999" thickBot="1">
      <c r="A22" s="56"/>
      <c r="B22" s="57"/>
      <c r="C22" s="58" t="s">
        <v>20</v>
      </c>
      <c r="D22" s="58" t="s">
        <v>1120</v>
      </c>
      <c r="E22" s="59"/>
      <c r="F22" s="60"/>
      <c r="G22" s="60"/>
      <c r="H22" s="60"/>
      <c r="I22" s="60"/>
      <c r="J22" s="60"/>
      <c r="K22" s="61"/>
      <c r="L22" s="61"/>
      <c r="M22" s="62"/>
      <c r="N22" s="62"/>
      <c r="O22" s="62"/>
      <c r="P22" s="63"/>
    </row>
    <row r="23" spans="1:16" ht="17.399999999999999" thickBot="1">
      <c r="A23" s="64"/>
      <c r="B23" s="65" t="s">
        <v>1121</v>
      </c>
      <c r="C23" s="66">
        <f>IFERROR(ROUND((C21+E21)*100/K21,1),"0")</f>
        <v>100</v>
      </c>
      <c r="D23" s="66" t="str">
        <f>IFERROR(ROUND((D21+F21)*100/L21,1),"0")</f>
        <v>0</v>
      </c>
      <c r="E23" s="64" t="s">
        <v>1122</v>
      </c>
      <c r="F23" s="67"/>
      <c r="G23" s="68"/>
      <c r="H23" s="64"/>
      <c r="I23" s="64"/>
      <c r="J23" s="64"/>
      <c r="K23" s="68"/>
      <c r="L23" s="68"/>
      <c r="M23" s="69"/>
      <c r="N23" s="69"/>
      <c r="O23" s="69"/>
      <c r="P23" s="70"/>
    </row>
    <row r="24" spans="1:16" ht="17.399999999999999" thickBot="1">
      <c r="A24" s="71"/>
      <c r="B24" s="72" t="s">
        <v>1123</v>
      </c>
      <c r="C24" s="73">
        <f>IFERROR(ROUND(C21*100/K21,1),"0")</f>
        <v>100</v>
      </c>
      <c r="D24" s="66" t="str">
        <f>IFERROR(ROUND((D22+F22)*100/L22,1),"0")</f>
        <v>0</v>
      </c>
      <c r="E24" s="73" t="s">
        <v>1122</v>
      </c>
      <c r="F24" s="74"/>
      <c r="G24" s="75"/>
      <c r="H24" s="71"/>
      <c r="I24" s="71"/>
      <c r="J24" s="71"/>
      <c r="K24" s="75"/>
      <c r="L24" s="75"/>
      <c r="M24" s="76"/>
      <c r="N24" s="76"/>
      <c r="O24" s="76"/>
      <c r="P24" s="77"/>
    </row>
  </sheetData>
  <mergeCells count="18">
    <mergeCell ref="A1:P1"/>
    <mergeCell ref="B3:C3"/>
    <mergeCell ref="E3:G3"/>
    <mergeCell ref="H3:K3"/>
    <mergeCell ref="B4:C4"/>
    <mergeCell ref="E4:G4"/>
    <mergeCell ref="H4:K4"/>
    <mergeCell ref="B5:C5"/>
    <mergeCell ref="E5:G5"/>
    <mergeCell ref="H5:K5"/>
    <mergeCell ref="M7:N8"/>
    <mergeCell ref="O7:P8"/>
    <mergeCell ref="B6:K6"/>
    <mergeCell ref="C7:D8"/>
    <mergeCell ref="E7:F8"/>
    <mergeCell ref="G7:H8"/>
    <mergeCell ref="I7:J8"/>
    <mergeCell ref="K7:L8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50C95C-1D80-42E9-A1F7-07481C3D72E4}">
  <sheetPr>
    <tabColor theme="4"/>
  </sheetPr>
  <dimension ref="A1:J52"/>
  <sheetViews>
    <sheetView topLeftCell="B25" zoomScale="75" workbookViewId="0">
      <selection activeCell="H35" sqref="H35"/>
    </sheetView>
  </sheetViews>
  <sheetFormatPr defaultColWidth="9.109375" defaultRowHeight="16.8"/>
  <cols>
    <col min="1" max="1" width="21.33203125" style="15" bestFit="1" customWidth="1"/>
    <col min="2" max="2" width="47.33203125" style="15" customWidth="1"/>
    <col min="3" max="3" width="34.33203125" style="15" bestFit="1" customWidth="1"/>
    <col min="4" max="4" width="29" style="15" bestFit="1" customWidth="1"/>
    <col min="5" max="5" width="40" style="15" bestFit="1" customWidth="1"/>
    <col min="6" max="6" width="46" style="15" bestFit="1" customWidth="1"/>
    <col min="7" max="7" width="16" style="15" bestFit="1" customWidth="1"/>
    <col min="8" max="8" width="21.5546875" style="15" bestFit="1" customWidth="1"/>
    <col min="9" max="9" width="22.6640625" style="15" bestFit="1" customWidth="1"/>
    <col min="10" max="10" width="16" style="15" bestFit="1" customWidth="1"/>
    <col min="11" max="16384" width="9.109375" style="15"/>
  </cols>
  <sheetData>
    <row r="1" spans="1:10" s="4" customFormat="1">
      <c r="A1" s="1" t="s">
        <v>4</v>
      </c>
      <c r="B1" s="102" t="s">
        <v>1</v>
      </c>
      <c r="C1" s="102"/>
      <c r="D1" s="102"/>
      <c r="E1" s="102"/>
      <c r="F1" s="102"/>
      <c r="G1" s="2"/>
      <c r="H1" s="3"/>
    </row>
    <row r="2" spans="1:10" s="4" customFormat="1">
      <c r="A2" s="1" t="s">
        <v>5</v>
      </c>
      <c r="B2" s="103"/>
      <c r="C2" s="103"/>
      <c r="D2" s="103"/>
      <c r="E2" s="103"/>
      <c r="F2" s="103"/>
      <c r="G2" s="2"/>
      <c r="H2" s="3"/>
    </row>
    <row r="3" spans="1:10" s="4" customFormat="1">
      <c r="A3" s="5"/>
      <c r="B3" s="6" t="s">
        <v>6</v>
      </c>
      <c r="C3" s="6" t="s">
        <v>7</v>
      </c>
      <c r="D3" s="6" t="s">
        <v>8</v>
      </c>
      <c r="E3" s="6" t="s">
        <v>9</v>
      </c>
      <c r="F3" s="6" t="s">
        <v>10</v>
      </c>
      <c r="G3" s="2"/>
      <c r="H3" s="3"/>
    </row>
    <row r="4" spans="1:10" s="4" customFormat="1">
      <c r="A4" s="7" t="s">
        <v>11</v>
      </c>
      <c r="B4" s="8">
        <v>29</v>
      </c>
      <c r="C4" s="8">
        <v>0</v>
      </c>
      <c r="D4" s="5">
        <v>0</v>
      </c>
      <c r="E4" s="9">
        <v>0</v>
      </c>
      <c r="F4" s="5">
        <f>SUM(B4:E4)</f>
        <v>29</v>
      </c>
      <c r="G4" s="2"/>
      <c r="H4" s="3"/>
    </row>
    <row r="5" spans="1:10" s="4" customFormat="1">
      <c r="A5" s="7" t="s">
        <v>12</v>
      </c>
      <c r="B5" s="8">
        <v>29</v>
      </c>
      <c r="C5" s="8">
        <v>0</v>
      </c>
      <c r="D5" s="5">
        <v>0</v>
      </c>
      <c r="E5" s="9">
        <v>0</v>
      </c>
      <c r="F5" s="5">
        <f>SUM(B5:E5)</f>
        <v>29</v>
      </c>
      <c r="G5" s="2"/>
      <c r="H5" s="3"/>
    </row>
    <row r="6" spans="1:10" s="4" customFormat="1" ht="258" customHeight="1">
      <c r="A6" s="10"/>
      <c r="B6" s="11"/>
      <c r="E6" s="12"/>
      <c r="G6" s="2"/>
      <c r="H6" s="3"/>
    </row>
    <row r="7" spans="1:10" s="4" customFormat="1" ht="351" customHeight="1">
      <c r="A7" s="10"/>
      <c r="B7" s="11"/>
      <c r="E7" s="12"/>
      <c r="G7" s="2"/>
      <c r="H7" s="3"/>
    </row>
    <row r="8" spans="1:10" s="4" customFormat="1">
      <c r="A8" s="104" t="s">
        <v>13</v>
      </c>
      <c r="B8" s="104" t="s">
        <v>3</v>
      </c>
      <c r="C8" s="104" t="s">
        <v>14</v>
      </c>
      <c r="D8" s="104" t="s">
        <v>15</v>
      </c>
      <c r="E8" s="104" t="s">
        <v>16</v>
      </c>
      <c r="F8" s="104" t="s">
        <v>17</v>
      </c>
      <c r="G8" s="104" t="s">
        <v>18</v>
      </c>
      <c r="H8" s="104"/>
      <c r="I8" s="104"/>
      <c r="J8" s="104" t="s">
        <v>19</v>
      </c>
    </row>
    <row r="9" spans="1:10" s="4" customFormat="1">
      <c r="A9" s="104"/>
      <c r="B9" s="104"/>
      <c r="C9" s="104"/>
      <c r="D9" s="104"/>
      <c r="E9" s="104"/>
      <c r="F9" s="104"/>
      <c r="G9" s="104" t="s">
        <v>20</v>
      </c>
      <c r="H9" s="104"/>
      <c r="I9" s="104"/>
      <c r="J9" s="104"/>
    </row>
    <row r="10" spans="1:10" s="4" customFormat="1">
      <c r="A10" s="104"/>
      <c r="B10" s="104"/>
      <c r="C10" s="104"/>
      <c r="D10" s="104"/>
      <c r="E10" s="104"/>
      <c r="F10" s="104"/>
      <c r="G10" s="13" t="s">
        <v>21</v>
      </c>
      <c r="H10" s="14" t="s">
        <v>22</v>
      </c>
      <c r="I10" s="6" t="s">
        <v>23</v>
      </c>
      <c r="J10" s="104"/>
    </row>
    <row r="11" spans="1:10" s="4" customFormat="1">
      <c r="A11" s="105" t="s">
        <v>994</v>
      </c>
      <c r="B11" s="105"/>
      <c r="C11" s="105"/>
      <c r="D11" s="105"/>
      <c r="E11" s="105"/>
      <c r="F11" s="105"/>
      <c r="G11" s="105"/>
      <c r="H11" s="105"/>
      <c r="I11" s="105"/>
      <c r="J11" s="105"/>
    </row>
    <row r="12" spans="1:10" s="4" customFormat="1" ht="33.6">
      <c r="A12" s="22" t="s">
        <v>25</v>
      </c>
      <c r="B12" s="22" t="s">
        <v>846</v>
      </c>
      <c r="C12" s="22" t="s">
        <v>847</v>
      </c>
      <c r="D12" s="22"/>
      <c r="E12" s="22" t="s">
        <v>957</v>
      </c>
      <c r="F12" s="22" t="s">
        <v>957</v>
      </c>
      <c r="G12" s="21" t="s">
        <v>24</v>
      </c>
      <c r="H12" s="17">
        <v>46130</v>
      </c>
      <c r="I12" s="17" t="s">
        <v>1126</v>
      </c>
      <c r="J12" s="16"/>
    </row>
    <row r="13" spans="1:10" s="4" customFormat="1" ht="50.4">
      <c r="A13" s="22" t="s">
        <v>26</v>
      </c>
      <c r="B13" s="22" t="s">
        <v>848</v>
      </c>
      <c r="C13" s="22" t="s">
        <v>849</v>
      </c>
      <c r="D13" s="22"/>
      <c r="E13" s="22" t="s">
        <v>850</v>
      </c>
      <c r="F13" s="22" t="s">
        <v>850</v>
      </c>
      <c r="G13" s="21" t="s">
        <v>24</v>
      </c>
      <c r="H13" s="17">
        <v>46130</v>
      </c>
      <c r="I13" s="17" t="s">
        <v>1126</v>
      </c>
      <c r="J13" s="16"/>
    </row>
    <row r="14" spans="1:10" s="4" customFormat="1" ht="33.6">
      <c r="A14" s="22" t="s">
        <v>27</v>
      </c>
      <c r="B14" s="22" t="s">
        <v>851</v>
      </c>
      <c r="C14" s="22" t="s">
        <v>852</v>
      </c>
      <c r="D14" s="22" t="s">
        <v>302</v>
      </c>
      <c r="E14" s="22" t="s">
        <v>853</v>
      </c>
      <c r="F14" s="22" t="s">
        <v>853</v>
      </c>
      <c r="G14" s="21" t="s">
        <v>24</v>
      </c>
      <c r="H14" s="17">
        <v>46130</v>
      </c>
      <c r="I14" s="17" t="s">
        <v>1126</v>
      </c>
      <c r="J14" s="16"/>
    </row>
    <row r="15" spans="1:10" s="4" customFormat="1" ht="50.4">
      <c r="A15" s="22" t="s">
        <v>28</v>
      </c>
      <c r="B15" s="22" t="s">
        <v>854</v>
      </c>
      <c r="C15" s="22" t="s">
        <v>855</v>
      </c>
      <c r="D15" s="22" t="s">
        <v>969</v>
      </c>
      <c r="E15" s="22" t="s">
        <v>934</v>
      </c>
      <c r="F15" s="22" t="s">
        <v>934</v>
      </c>
      <c r="G15" s="21" t="s">
        <v>24</v>
      </c>
      <c r="H15" s="17">
        <v>46130</v>
      </c>
      <c r="I15" s="17" t="s">
        <v>1126</v>
      </c>
      <c r="J15" s="16"/>
    </row>
    <row r="16" spans="1:10" s="4" customFormat="1">
      <c r="A16" s="22" t="s">
        <v>29</v>
      </c>
      <c r="B16" s="22" t="s">
        <v>856</v>
      </c>
      <c r="C16" s="22" t="s">
        <v>857</v>
      </c>
      <c r="D16" s="22"/>
      <c r="E16" s="22" t="s">
        <v>971</v>
      </c>
      <c r="F16" s="22" t="s">
        <v>971</v>
      </c>
      <c r="G16" s="21" t="s">
        <v>24</v>
      </c>
      <c r="H16" s="17">
        <v>46130</v>
      </c>
      <c r="I16" s="17" t="s">
        <v>1126</v>
      </c>
      <c r="J16" s="16"/>
    </row>
    <row r="17" spans="1:10" s="4" customFormat="1" ht="33.6">
      <c r="A17" s="22" t="s">
        <v>31</v>
      </c>
      <c r="B17" s="22" t="s">
        <v>958</v>
      </c>
      <c r="C17" s="22" t="s">
        <v>858</v>
      </c>
      <c r="D17" s="22" t="s">
        <v>859</v>
      </c>
      <c r="E17" s="22" t="s">
        <v>860</v>
      </c>
      <c r="F17" s="22" t="s">
        <v>860</v>
      </c>
      <c r="G17" s="21" t="s">
        <v>24</v>
      </c>
      <c r="H17" s="17">
        <v>46130</v>
      </c>
      <c r="I17" s="17" t="s">
        <v>1126</v>
      </c>
      <c r="J17" s="16"/>
    </row>
    <row r="18" spans="1:10" s="4" customFormat="1" ht="50.4">
      <c r="A18" s="22" t="s">
        <v>32</v>
      </c>
      <c r="B18" s="22" t="s">
        <v>862</v>
      </c>
      <c r="C18" s="22" t="s">
        <v>863</v>
      </c>
      <c r="D18" s="22" t="s">
        <v>302</v>
      </c>
      <c r="E18" s="22" t="s">
        <v>943</v>
      </c>
      <c r="F18" s="22" t="s">
        <v>943</v>
      </c>
      <c r="G18" s="21" t="s">
        <v>24</v>
      </c>
      <c r="H18" s="17">
        <v>46130</v>
      </c>
      <c r="I18" s="17" t="s">
        <v>1126</v>
      </c>
      <c r="J18" s="16"/>
    </row>
    <row r="19" spans="1:10" s="4" customFormat="1">
      <c r="A19" s="22" t="s">
        <v>33</v>
      </c>
      <c r="B19" s="22" t="s">
        <v>865</v>
      </c>
      <c r="C19" s="22" t="s">
        <v>866</v>
      </c>
      <c r="D19" s="22" t="s">
        <v>867</v>
      </c>
      <c r="E19" s="22" t="s">
        <v>868</v>
      </c>
      <c r="F19" s="22" t="s">
        <v>868</v>
      </c>
      <c r="G19" s="21" t="s">
        <v>24</v>
      </c>
      <c r="H19" s="17">
        <v>46130</v>
      </c>
      <c r="I19" s="17" t="s">
        <v>1126</v>
      </c>
      <c r="J19" s="16"/>
    </row>
    <row r="20" spans="1:10" s="4" customFormat="1">
      <c r="A20" s="22" t="s">
        <v>34</v>
      </c>
      <c r="B20" s="22" t="s">
        <v>870</v>
      </c>
      <c r="C20" s="22" t="s">
        <v>866</v>
      </c>
      <c r="D20" s="22" t="s">
        <v>867</v>
      </c>
      <c r="E20" s="22" t="s">
        <v>868</v>
      </c>
      <c r="F20" s="22" t="s">
        <v>868</v>
      </c>
      <c r="G20" s="21" t="s">
        <v>24</v>
      </c>
      <c r="H20" s="17">
        <v>46130</v>
      </c>
      <c r="I20" s="17" t="s">
        <v>1126</v>
      </c>
      <c r="J20" s="16"/>
    </row>
    <row r="21" spans="1:10" s="4" customFormat="1">
      <c r="A21" s="22" t="s">
        <v>35</v>
      </c>
      <c r="B21" s="22" t="s">
        <v>872</v>
      </c>
      <c r="C21" s="22" t="s">
        <v>873</v>
      </c>
      <c r="D21" s="22" t="s">
        <v>874</v>
      </c>
      <c r="E21" s="22" t="s">
        <v>944</v>
      </c>
      <c r="F21" s="22" t="s">
        <v>944</v>
      </c>
      <c r="G21" s="21" t="s">
        <v>24</v>
      </c>
      <c r="H21" s="17">
        <v>46130</v>
      </c>
      <c r="I21" s="17" t="s">
        <v>1126</v>
      </c>
      <c r="J21" s="16"/>
    </row>
    <row r="22" spans="1:10" s="4" customFormat="1">
      <c r="A22" s="22" t="s">
        <v>36</v>
      </c>
      <c r="B22" s="22" t="s">
        <v>949</v>
      </c>
      <c r="C22" s="22" t="s">
        <v>873</v>
      </c>
      <c r="D22" s="22" t="s">
        <v>876</v>
      </c>
      <c r="E22" s="22" t="s">
        <v>950</v>
      </c>
      <c r="F22" s="22" t="s">
        <v>950</v>
      </c>
      <c r="G22" s="21" t="s">
        <v>24</v>
      </c>
      <c r="H22" s="17">
        <v>46130</v>
      </c>
      <c r="I22" s="17" t="s">
        <v>1126</v>
      </c>
      <c r="J22" s="16"/>
    </row>
    <row r="23" spans="1:10" s="4" customFormat="1" ht="50.4">
      <c r="A23" s="22" t="s">
        <v>37</v>
      </c>
      <c r="B23" s="22" t="s">
        <v>878</v>
      </c>
      <c r="C23" s="22" t="s">
        <v>879</v>
      </c>
      <c r="D23" s="22" t="s">
        <v>880</v>
      </c>
      <c r="E23" s="22" t="s">
        <v>945</v>
      </c>
      <c r="F23" s="22" t="s">
        <v>945</v>
      </c>
      <c r="G23" s="21" t="s">
        <v>24</v>
      </c>
      <c r="H23" s="17">
        <v>46130</v>
      </c>
      <c r="I23" s="17" t="s">
        <v>1126</v>
      </c>
      <c r="J23" s="16"/>
    </row>
    <row r="24" spans="1:10" s="4" customFormat="1" ht="33.6" customHeight="1">
      <c r="A24" s="22" t="s">
        <v>38</v>
      </c>
      <c r="B24" s="22" t="s">
        <v>882</v>
      </c>
      <c r="C24" s="22" t="s">
        <v>883</v>
      </c>
      <c r="D24" s="22" t="s">
        <v>884</v>
      </c>
      <c r="E24" s="22" t="s">
        <v>885</v>
      </c>
      <c r="F24" s="22" t="s">
        <v>885</v>
      </c>
      <c r="G24" s="21" t="s">
        <v>24</v>
      </c>
      <c r="H24" s="17">
        <v>46130</v>
      </c>
      <c r="I24" s="17" t="s">
        <v>1126</v>
      </c>
      <c r="J24" s="16"/>
    </row>
    <row r="25" spans="1:10" s="4" customFormat="1" ht="33.6">
      <c r="A25" s="22" t="s">
        <v>39</v>
      </c>
      <c r="B25" s="22" t="s">
        <v>887</v>
      </c>
      <c r="C25" s="22" t="s">
        <v>888</v>
      </c>
      <c r="D25" s="22" t="s">
        <v>874</v>
      </c>
      <c r="E25" s="22" t="s">
        <v>946</v>
      </c>
      <c r="F25" s="22" t="s">
        <v>946</v>
      </c>
      <c r="G25" s="21" t="s">
        <v>24</v>
      </c>
      <c r="H25" s="17">
        <v>46130</v>
      </c>
      <c r="I25" s="17" t="s">
        <v>1126</v>
      </c>
      <c r="J25" s="16"/>
    </row>
    <row r="26" spans="1:10" s="4" customFormat="1" ht="33.6">
      <c r="A26" s="22" t="s">
        <v>861</v>
      </c>
      <c r="B26" s="22" t="s">
        <v>889</v>
      </c>
      <c r="C26" s="22" t="s">
        <v>890</v>
      </c>
      <c r="D26" s="22" t="s">
        <v>874</v>
      </c>
      <c r="E26" s="22" t="s">
        <v>947</v>
      </c>
      <c r="F26" s="22" t="s">
        <v>947</v>
      </c>
      <c r="G26" s="21" t="s">
        <v>24</v>
      </c>
      <c r="H26" s="17">
        <v>46130</v>
      </c>
      <c r="I26" s="17" t="s">
        <v>1126</v>
      </c>
      <c r="J26" s="16"/>
    </row>
    <row r="27" spans="1:10" s="4" customFormat="1" ht="33.6">
      <c r="A27" s="22" t="s">
        <v>864</v>
      </c>
      <c r="B27" s="22" t="s">
        <v>891</v>
      </c>
      <c r="C27" s="22" t="s">
        <v>892</v>
      </c>
      <c r="D27" s="22" t="s">
        <v>876</v>
      </c>
      <c r="E27" s="22" t="s">
        <v>948</v>
      </c>
      <c r="F27" s="22" t="s">
        <v>948</v>
      </c>
      <c r="G27" s="21" t="s">
        <v>24</v>
      </c>
      <c r="H27" s="17">
        <v>46130</v>
      </c>
      <c r="I27" s="17" t="s">
        <v>1126</v>
      </c>
      <c r="J27" s="16"/>
    </row>
    <row r="28" spans="1:10" s="4" customFormat="1" ht="50.4">
      <c r="A28" s="22" t="s">
        <v>869</v>
      </c>
      <c r="B28" s="22" t="s">
        <v>893</v>
      </c>
      <c r="C28" s="22" t="s">
        <v>894</v>
      </c>
      <c r="D28" s="22"/>
      <c r="E28" s="22" t="s">
        <v>972</v>
      </c>
      <c r="F28" s="22" t="s">
        <v>972</v>
      </c>
      <c r="G28" s="21" t="s">
        <v>24</v>
      </c>
      <c r="H28" s="17">
        <v>46130</v>
      </c>
      <c r="I28" s="17" t="s">
        <v>1126</v>
      </c>
      <c r="J28" s="16"/>
    </row>
    <row r="29" spans="1:10" s="4" customFormat="1" ht="33.6">
      <c r="A29" s="22" t="s">
        <v>871</v>
      </c>
      <c r="B29" s="22" t="s">
        <v>959</v>
      </c>
      <c r="C29" s="22" t="s">
        <v>895</v>
      </c>
      <c r="D29" s="22"/>
      <c r="E29" s="22" t="s">
        <v>935</v>
      </c>
      <c r="F29" s="22" t="s">
        <v>935</v>
      </c>
      <c r="G29" s="21" t="s">
        <v>24</v>
      </c>
      <c r="H29" s="17">
        <v>46130</v>
      </c>
      <c r="I29" s="17" t="s">
        <v>1126</v>
      </c>
      <c r="J29" s="16"/>
    </row>
    <row r="30" spans="1:10" s="4" customFormat="1" ht="33.6">
      <c r="A30" s="22" t="s">
        <v>875</v>
      </c>
      <c r="B30" s="22" t="s">
        <v>960</v>
      </c>
      <c r="C30" s="22" t="s">
        <v>896</v>
      </c>
      <c r="D30" s="22"/>
      <c r="E30" s="22" t="s">
        <v>936</v>
      </c>
      <c r="F30" s="22" t="s">
        <v>936</v>
      </c>
      <c r="G30" s="21" t="s">
        <v>24</v>
      </c>
      <c r="H30" s="17">
        <v>46130</v>
      </c>
      <c r="I30" s="17" t="s">
        <v>1126</v>
      </c>
      <c r="J30" s="16"/>
    </row>
    <row r="31" spans="1:10" s="4" customFormat="1" ht="33.6">
      <c r="A31" s="22" t="s">
        <v>877</v>
      </c>
      <c r="B31" s="22" t="s">
        <v>961</v>
      </c>
      <c r="C31" s="22" t="s">
        <v>897</v>
      </c>
      <c r="D31" s="22"/>
      <c r="E31" s="22" t="s">
        <v>937</v>
      </c>
      <c r="F31" s="22" t="s">
        <v>937</v>
      </c>
      <c r="G31" s="21" t="s">
        <v>24</v>
      </c>
      <c r="H31" s="17">
        <v>46130</v>
      </c>
      <c r="I31" s="17" t="s">
        <v>1126</v>
      </c>
      <c r="J31" s="16"/>
    </row>
    <row r="32" spans="1:10" s="4" customFormat="1" ht="33.6">
      <c r="A32" s="22" t="s">
        <v>881</v>
      </c>
      <c r="B32" s="22" t="s">
        <v>962</v>
      </c>
      <c r="C32" s="22" t="s">
        <v>970</v>
      </c>
      <c r="D32" s="22"/>
      <c r="E32" s="22" t="s">
        <v>938</v>
      </c>
      <c r="F32" s="22" t="s">
        <v>938</v>
      </c>
      <c r="G32" s="21" t="s">
        <v>24</v>
      </c>
      <c r="H32" s="17">
        <v>46130</v>
      </c>
      <c r="I32" s="17" t="s">
        <v>1126</v>
      </c>
      <c r="J32" s="16"/>
    </row>
    <row r="33" spans="1:10" s="4" customFormat="1">
      <c r="A33" s="22" t="s">
        <v>886</v>
      </c>
      <c r="B33" s="22" t="s">
        <v>898</v>
      </c>
      <c r="C33" s="22" t="s">
        <v>899</v>
      </c>
      <c r="D33" s="22"/>
      <c r="E33" s="22" t="s">
        <v>900</v>
      </c>
      <c r="F33" s="22" t="s">
        <v>900</v>
      </c>
      <c r="G33" s="21" t="s">
        <v>24</v>
      </c>
      <c r="H33" s="17">
        <v>46130</v>
      </c>
      <c r="I33" s="17" t="s">
        <v>1126</v>
      </c>
      <c r="J33" s="16"/>
    </row>
    <row r="34" spans="1:10" s="4" customFormat="1">
      <c r="A34" s="106" t="s">
        <v>995</v>
      </c>
      <c r="B34" s="106"/>
      <c r="C34" s="106"/>
      <c r="D34" s="106"/>
      <c r="E34" s="106"/>
      <c r="F34" s="106"/>
      <c r="G34" s="105"/>
      <c r="H34" s="105"/>
      <c r="I34" s="105"/>
      <c r="J34" s="105"/>
    </row>
    <row r="35" spans="1:10" s="4" customFormat="1" ht="50.4">
      <c r="A35" s="22" t="s">
        <v>901</v>
      </c>
      <c r="B35" s="22" t="s">
        <v>902</v>
      </c>
      <c r="C35" s="22" t="s">
        <v>903</v>
      </c>
      <c r="D35" s="22" t="s">
        <v>500</v>
      </c>
      <c r="E35" s="22" t="s">
        <v>939</v>
      </c>
      <c r="F35" s="22" t="s">
        <v>939</v>
      </c>
      <c r="G35" s="21" t="s">
        <v>24</v>
      </c>
      <c r="H35" s="17">
        <v>46130</v>
      </c>
      <c r="I35" s="17" t="s">
        <v>1126</v>
      </c>
      <c r="J35" s="16"/>
    </row>
    <row r="36" spans="1:10" s="4" customFormat="1" ht="50.4">
      <c r="A36" s="22" t="s">
        <v>904</v>
      </c>
      <c r="B36" s="22" t="s">
        <v>905</v>
      </c>
      <c r="C36" s="22" t="s">
        <v>951</v>
      </c>
      <c r="D36" s="22" t="s">
        <v>906</v>
      </c>
      <c r="E36" s="22" t="s">
        <v>907</v>
      </c>
      <c r="F36" s="22" t="s">
        <v>907</v>
      </c>
      <c r="G36" s="21" t="s">
        <v>24</v>
      </c>
      <c r="H36" s="17">
        <v>46130</v>
      </c>
      <c r="I36" s="17" t="s">
        <v>1126</v>
      </c>
      <c r="J36" s="16"/>
    </row>
    <row r="37" spans="1:10" s="4" customFormat="1" ht="33.6">
      <c r="A37" s="22" t="s">
        <v>908</v>
      </c>
      <c r="B37" s="22" t="s">
        <v>909</v>
      </c>
      <c r="C37" s="22" t="s">
        <v>910</v>
      </c>
      <c r="D37" s="22" t="s">
        <v>302</v>
      </c>
      <c r="E37" s="22" t="s">
        <v>911</v>
      </c>
      <c r="F37" s="22" t="s">
        <v>911</v>
      </c>
      <c r="G37" s="21" t="s">
        <v>24</v>
      </c>
      <c r="H37" s="17">
        <v>46130</v>
      </c>
      <c r="I37" s="17" t="s">
        <v>1126</v>
      </c>
      <c r="J37" s="16"/>
    </row>
    <row r="38" spans="1:10" s="4" customFormat="1" ht="33.6">
      <c r="A38" s="22" t="s">
        <v>912</v>
      </c>
      <c r="B38" s="22" t="s">
        <v>913</v>
      </c>
      <c r="C38" s="22" t="s">
        <v>914</v>
      </c>
      <c r="D38" s="22" t="s">
        <v>302</v>
      </c>
      <c r="E38" s="22" t="s">
        <v>915</v>
      </c>
      <c r="F38" s="22" t="s">
        <v>915</v>
      </c>
      <c r="G38" s="21" t="s">
        <v>24</v>
      </c>
      <c r="H38" s="17">
        <v>46130</v>
      </c>
      <c r="I38" s="17" t="s">
        <v>1126</v>
      </c>
      <c r="J38" s="16"/>
    </row>
    <row r="39" spans="1:10" s="4" customFormat="1" ht="33.6">
      <c r="A39" s="22" t="s">
        <v>916</v>
      </c>
      <c r="B39" s="22" t="s">
        <v>917</v>
      </c>
      <c r="C39" s="22" t="s">
        <v>968</v>
      </c>
      <c r="D39" s="22" t="s">
        <v>302</v>
      </c>
      <c r="E39" s="22" t="s">
        <v>918</v>
      </c>
      <c r="F39" s="22" t="s">
        <v>918</v>
      </c>
      <c r="G39" s="21" t="s">
        <v>24</v>
      </c>
      <c r="H39" s="17">
        <v>46130</v>
      </c>
      <c r="I39" s="17" t="s">
        <v>1126</v>
      </c>
      <c r="J39" s="16"/>
    </row>
    <row r="40" spans="1:10" s="4" customFormat="1" ht="50.4">
      <c r="A40" s="22" t="s">
        <v>919</v>
      </c>
      <c r="B40" s="22" t="s">
        <v>30</v>
      </c>
      <c r="C40" s="22" t="s">
        <v>952</v>
      </c>
      <c r="D40" s="22"/>
      <c r="E40" s="22" t="s">
        <v>940</v>
      </c>
      <c r="F40" s="22" t="s">
        <v>940</v>
      </c>
      <c r="G40" s="21" t="s">
        <v>24</v>
      </c>
      <c r="H40" s="17">
        <v>46130</v>
      </c>
      <c r="I40" s="17" t="s">
        <v>1126</v>
      </c>
      <c r="J40" s="16"/>
    </row>
    <row r="41" spans="1:10" s="4" customFormat="1" ht="67.2">
      <c r="A41" s="22" t="s">
        <v>920</v>
      </c>
      <c r="B41" s="22" t="s">
        <v>921</v>
      </c>
      <c r="C41" s="22" t="s">
        <v>953</v>
      </c>
      <c r="D41" s="22"/>
      <c r="E41" s="22" t="s">
        <v>941</v>
      </c>
      <c r="F41" s="22" t="s">
        <v>941</v>
      </c>
      <c r="G41" s="21" t="s">
        <v>24</v>
      </c>
      <c r="H41" s="17">
        <v>46130</v>
      </c>
      <c r="I41" s="17" t="s">
        <v>1126</v>
      </c>
      <c r="J41" s="16"/>
    </row>
    <row r="42" spans="1:10" s="4" customFormat="1" ht="33.6">
      <c r="A42" s="22" t="s">
        <v>922</v>
      </c>
      <c r="B42" s="22" t="s">
        <v>923</v>
      </c>
      <c r="C42" s="22" t="s">
        <v>954</v>
      </c>
      <c r="D42" s="22"/>
      <c r="E42" s="22" t="s">
        <v>963</v>
      </c>
      <c r="F42" s="22" t="s">
        <v>963</v>
      </c>
      <c r="G42" s="21" t="s">
        <v>24</v>
      </c>
      <c r="H42" s="17">
        <v>46130</v>
      </c>
      <c r="I42" s="17" t="s">
        <v>1126</v>
      </c>
      <c r="J42" s="16"/>
    </row>
    <row r="43" spans="1:10" s="4" customFormat="1" ht="33.6">
      <c r="A43" s="22" t="s">
        <v>924</v>
      </c>
      <c r="B43" s="22" t="s">
        <v>925</v>
      </c>
      <c r="C43" s="22" t="s">
        <v>967</v>
      </c>
      <c r="D43" s="22"/>
      <c r="E43" s="22" t="s">
        <v>966</v>
      </c>
      <c r="F43" s="22" t="s">
        <v>966</v>
      </c>
      <c r="G43" s="21" t="s">
        <v>24</v>
      </c>
      <c r="H43" s="17">
        <v>46130</v>
      </c>
      <c r="I43" s="17" t="s">
        <v>1126</v>
      </c>
      <c r="J43" s="16"/>
    </row>
    <row r="44" spans="1:10" ht="50.4">
      <c r="A44" s="22" t="s">
        <v>926</v>
      </c>
      <c r="B44" s="22" t="s">
        <v>40</v>
      </c>
      <c r="C44" s="22" t="s">
        <v>955</v>
      </c>
      <c r="D44" s="22" t="s">
        <v>927</v>
      </c>
      <c r="E44" s="22" t="s">
        <v>942</v>
      </c>
      <c r="F44" s="22" t="s">
        <v>942</v>
      </c>
      <c r="G44" s="21" t="s">
        <v>24</v>
      </c>
      <c r="H44" s="17">
        <v>46130</v>
      </c>
      <c r="I44" s="17" t="s">
        <v>1126</v>
      </c>
      <c r="J44" s="16"/>
    </row>
    <row r="45" spans="1:10" ht="50.4">
      <c r="A45" s="27" t="s">
        <v>928</v>
      </c>
      <c r="B45" s="27" t="s">
        <v>929</v>
      </c>
      <c r="C45" s="27" t="s">
        <v>956</v>
      </c>
      <c r="D45" s="27"/>
      <c r="E45" s="27" t="s">
        <v>964</v>
      </c>
      <c r="F45" s="27" t="s">
        <v>964</v>
      </c>
      <c r="G45" s="21" t="s">
        <v>24</v>
      </c>
      <c r="H45" s="17">
        <v>46130</v>
      </c>
      <c r="I45" s="17" t="s">
        <v>1126</v>
      </c>
      <c r="J45" s="16"/>
    </row>
    <row r="46" spans="1:10" ht="33.6">
      <c r="A46" s="22" t="s">
        <v>930</v>
      </c>
      <c r="B46" s="22" t="s">
        <v>965</v>
      </c>
      <c r="C46" s="22" t="s">
        <v>933</v>
      </c>
      <c r="D46" s="22"/>
      <c r="E46" s="22" t="s">
        <v>324</v>
      </c>
      <c r="F46" s="22" t="s">
        <v>324</v>
      </c>
      <c r="G46" s="21" t="s">
        <v>24</v>
      </c>
      <c r="H46" s="17">
        <v>46130</v>
      </c>
      <c r="I46" s="17" t="s">
        <v>1126</v>
      </c>
      <c r="J46" s="16"/>
    </row>
    <row r="47" spans="1:10" ht="67.2">
      <c r="A47" s="22" t="s">
        <v>931</v>
      </c>
      <c r="B47" s="22" t="s">
        <v>932</v>
      </c>
      <c r="C47" s="22" t="s">
        <v>982</v>
      </c>
      <c r="D47" s="22" t="s">
        <v>518</v>
      </c>
      <c r="E47" s="22" t="s">
        <v>988</v>
      </c>
      <c r="F47" s="22" t="s">
        <v>988</v>
      </c>
      <c r="G47" s="21" t="s">
        <v>24</v>
      </c>
      <c r="H47" s="17">
        <v>46130</v>
      </c>
      <c r="I47" s="17" t="s">
        <v>1126</v>
      </c>
      <c r="J47" s="16"/>
    </row>
    <row r="48" spans="1:10" ht="33.6">
      <c r="A48" s="22" t="s">
        <v>973</v>
      </c>
      <c r="B48" s="22" t="s">
        <v>974</v>
      </c>
      <c r="C48" s="22" t="s">
        <v>983</v>
      </c>
      <c r="D48" s="22" t="s">
        <v>518</v>
      </c>
      <c r="E48" s="22" t="s">
        <v>989</v>
      </c>
      <c r="F48" s="22" t="s">
        <v>989</v>
      </c>
      <c r="G48" s="21" t="s">
        <v>24</v>
      </c>
      <c r="H48" s="17">
        <v>46130</v>
      </c>
      <c r="I48" s="17" t="s">
        <v>1126</v>
      </c>
      <c r="J48" s="16"/>
    </row>
    <row r="49" spans="1:10" ht="67.2">
      <c r="A49" s="22" t="s">
        <v>975</v>
      </c>
      <c r="B49" s="22" t="s">
        <v>976</v>
      </c>
      <c r="C49" s="22" t="s">
        <v>984</v>
      </c>
      <c r="D49" s="22" t="s">
        <v>518</v>
      </c>
      <c r="E49" s="22" t="s">
        <v>990</v>
      </c>
      <c r="F49" s="22" t="s">
        <v>990</v>
      </c>
      <c r="G49" s="21" t="s">
        <v>24</v>
      </c>
      <c r="H49" s="17">
        <v>46130</v>
      </c>
      <c r="I49" s="17" t="s">
        <v>1126</v>
      </c>
      <c r="J49" s="16"/>
    </row>
    <row r="50" spans="1:10" ht="50.4">
      <c r="A50" s="22" t="s">
        <v>977</v>
      </c>
      <c r="B50" s="22" t="s">
        <v>978</v>
      </c>
      <c r="C50" s="22" t="s">
        <v>985</v>
      </c>
      <c r="D50" s="22" t="s">
        <v>518</v>
      </c>
      <c r="E50" s="22" t="s">
        <v>991</v>
      </c>
      <c r="F50" s="22" t="s">
        <v>991</v>
      </c>
      <c r="G50" s="21" t="s">
        <v>24</v>
      </c>
      <c r="H50" s="17">
        <v>46130</v>
      </c>
      <c r="I50" s="17" t="s">
        <v>1126</v>
      </c>
      <c r="J50" s="16"/>
    </row>
    <row r="51" spans="1:10" ht="50.4">
      <c r="A51" s="22" t="s">
        <v>979</v>
      </c>
      <c r="B51" s="22" t="s">
        <v>40</v>
      </c>
      <c r="C51" s="22" t="s">
        <v>986</v>
      </c>
      <c r="D51" s="22" t="s">
        <v>980</v>
      </c>
      <c r="E51" s="22" t="s">
        <v>992</v>
      </c>
      <c r="F51" s="22" t="s">
        <v>992</v>
      </c>
      <c r="G51" s="21" t="s">
        <v>24</v>
      </c>
      <c r="H51" s="17">
        <v>46130</v>
      </c>
      <c r="I51" s="17" t="s">
        <v>1126</v>
      </c>
      <c r="J51" s="16"/>
    </row>
    <row r="52" spans="1:10" ht="33.6">
      <c r="A52" s="22" t="s">
        <v>981</v>
      </c>
      <c r="B52" s="22" t="s">
        <v>993</v>
      </c>
      <c r="C52" s="22" t="s">
        <v>987</v>
      </c>
      <c r="D52" s="22"/>
      <c r="E52" s="22" t="s">
        <v>324</v>
      </c>
      <c r="F52" s="22" t="s">
        <v>324</v>
      </c>
      <c r="G52" s="21" t="s">
        <v>24</v>
      </c>
      <c r="H52" s="17">
        <v>46130</v>
      </c>
      <c r="I52" s="17" t="s">
        <v>1126</v>
      </c>
      <c r="J52" s="16"/>
    </row>
  </sheetData>
  <mergeCells count="13">
    <mergeCell ref="G8:I8"/>
    <mergeCell ref="J8:J10"/>
    <mergeCell ref="G9:I9"/>
    <mergeCell ref="A11:J11"/>
    <mergeCell ref="A34:J34"/>
    <mergeCell ref="B1:F1"/>
    <mergeCell ref="B2:F2"/>
    <mergeCell ref="A8:A10"/>
    <mergeCell ref="B8:B10"/>
    <mergeCell ref="C8:C10"/>
    <mergeCell ref="D8:D10"/>
    <mergeCell ref="E8:E10"/>
    <mergeCell ref="F8:F10"/>
  </mergeCells>
  <phoneticPr fontId="9" type="noConversion"/>
  <conditionalFormatting sqref="G12:G33">
    <cfRule type="containsText" dxfId="47" priority="5" operator="containsText" text="Hoàn thành">
      <formula>NOT(ISERROR(SEARCH("Hoàn thành",G12)))</formula>
    </cfRule>
    <cfRule type="containsText" dxfId="46" priority="6" operator="containsText" text="Lỗi">
      <formula>NOT(ISERROR(SEARCH("Lỗi",G12)))</formula>
    </cfRule>
    <cfRule type="containsText" dxfId="45" priority="7" operator="containsText" text="Hoàn thành">
      <formula>NOT(ISERROR(SEARCH("Hoàn thành",G12)))</formula>
    </cfRule>
    <cfRule type="containsText" dxfId="44" priority="8" operator="containsText" text="Hoàn thành">
      <formula>NOT(ISERROR(SEARCH("Hoàn thành",G12)))</formula>
    </cfRule>
  </conditionalFormatting>
  <conditionalFormatting sqref="G35:G52">
    <cfRule type="containsText" dxfId="43" priority="1" operator="containsText" text="Hoàn thành">
      <formula>NOT(ISERROR(SEARCH("Hoàn thành",G35)))</formula>
    </cfRule>
    <cfRule type="containsText" dxfId="42" priority="2" operator="containsText" text="Lỗi">
      <formula>NOT(ISERROR(SEARCH("Lỗi",G35)))</formula>
    </cfRule>
    <cfRule type="containsText" dxfId="41" priority="3" operator="containsText" text="Hoàn thành">
      <formula>NOT(ISERROR(SEARCH("Hoàn thành",G35)))</formula>
    </cfRule>
    <cfRule type="containsText" dxfId="40" priority="4" operator="containsText" text="Hoàn thành">
      <formula>NOT(ISERROR(SEARCH("Hoàn thành",G35)))</formula>
    </cfRule>
  </conditionalFormatting>
  <dataValidations count="1">
    <dataValidation type="list" allowBlank="1" showInputMessage="1" showErrorMessage="1" sqref="G12:G33 G35:G52" xr:uid="{FB81922A-C938-45CA-9BA8-A75BEA849553}">
      <formula1>"Pass, Fail, Chưa kiểm tra, Bị chặn"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63BCAE-A561-4643-9CEE-D60F54F31F13}">
  <sheetPr>
    <tabColor theme="4"/>
  </sheetPr>
  <dimension ref="A1"/>
  <sheetViews>
    <sheetView workbookViewId="0">
      <selection activeCell="H35" sqref="H35"/>
    </sheetView>
  </sheetViews>
  <sheetFormatPr defaultRowHeight="14.4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A1B6EB-58D4-46CA-8920-C25C3AA32353}">
  <sheetPr>
    <tabColor theme="5"/>
  </sheetPr>
  <dimension ref="A1:J54"/>
  <sheetViews>
    <sheetView topLeftCell="A32" zoomScale="62" zoomScaleNormal="100" workbookViewId="0">
      <selection activeCell="I54" sqref="I54"/>
    </sheetView>
  </sheetViews>
  <sheetFormatPr defaultColWidth="9.109375" defaultRowHeight="16.8"/>
  <cols>
    <col min="1" max="1" width="21.33203125" style="15" bestFit="1" customWidth="1"/>
    <col min="2" max="2" width="47.33203125" style="15" customWidth="1"/>
    <col min="3" max="3" width="34.33203125" style="15" bestFit="1" customWidth="1"/>
    <col min="4" max="4" width="29" style="15" bestFit="1" customWidth="1"/>
    <col min="5" max="5" width="40" style="15" bestFit="1" customWidth="1"/>
    <col min="6" max="6" width="46" style="15" bestFit="1" customWidth="1"/>
    <col min="7" max="7" width="16" style="15" bestFit="1" customWidth="1"/>
    <col min="8" max="8" width="21.5546875" style="15" bestFit="1" customWidth="1"/>
    <col min="9" max="9" width="22.6640625" style="15" bestFit="1" customWidth="1"/>
    <col min="10" max="10" width="16" style="15" bestFit="1" customWidth="1"/>
    <col min="11" max="16384" width="9.109375" style="15"/>
  </cols>
  <sheetData>
    <row r="1" spans="1:10" s="4" customFormat="1">
      <c r="A1" s="1" t="s">
        <v>4</v>
      </c>
      <c r="B1" s="102" t="s">
        <v>1</v>
      </c>
      <c r="C1" s="102"/>
      <c r="D1" s="102"/>
      <c r="E1" s="102"/>
      <c r="F1" s="102"/>
      <c r="G1" s="2"/>
      <c r="H1" s="3"/>
    </row>
    <row r="2" spans="1:10" s="4" customFormat="1">
      <c r="A2" s="1" t="s">
        <v>5</v>
      </c>
      <c r="B2" s="103" t="s">
        <v>845</v>
      </c>
      <c r="C2" s="103"/>
      <c r="D2" s="103"/>
      <c r="E2" s="103"/>
      <c r="F2" s="103"/>
      <c r="G2" s="2"/>
      <c r="H2" s="3"/>
    </row>
    <row r="3" spans="1:10" s="4" customFormat="1">
      <c r="A3" s="5"/>
      <c r="B3" s="6" t="s">
        <v>6</v>
      </c>
      <c r="C3" s="6" t="s">
        <v>7</v>
      </c>
      <c r="D3" s="6" t="s">
        <v>8</v>
      </c>
      <c r="E3" s="6" t="s">
        <v>9</v>
      </c>
      <c r="F3" s="6" t="s">
        <v>10</v>
      </c>
      <c r="G3" s="2"/>
      <c r="H3" s="3"/>
    </row>
    <row r="4" spans="1:10" s="4" customFormat="1">
      <c r="A4" s="7" t="s">
        <v>11</v>
      </c>
      <c r="B4" s="8">
        <v>30</v>
      </c>
      <c r="C4" s="8">
        <v>2</v>
      </c>
      <c r="D4" s="5">
        <v>0</v>
      </c>
      <c r="E4" s="9">
        <v>0</v>
      </c>
      <c r="F4" s="5">
        <f>SUM(B4:E4)</f>
        <v>32</v>
      </c>
      <c r="G4" s="2"/>
      <c r="H4" s="3"/>
    </row>
    <row r="5" spans="1:10" s="4" customFormat="1">
      <c r="A5" s="7" t="s">
        <v>12</v>
      </c>
      <c r="B5" s="8">
        <v>30</v>
      </c>
      <c r="C5" s="8">
        <v>2</v>
      </c>
      <c r="D5" s="5">
        <v>0</v>
      </c>
      <c r="E5" s="9">
        <v>0</v>
      </c>
      <c r="F5" s="5">
        <f>SUM(B5:E5)</f>
        <v>32</v>
      </c>
      <c r="G5" s="2"/>
      <c r="H5" s="3"/>
    </row>
    <row r="6" spans="1:10" s="4" customFormat="1" ht="258" customHeight="1">
      <c r="A6" s="10"/>
      <c r="B6" s="11"/>
      <c r="E6" s="12"/>
      <c r="G6" s="2"/>
      <c r="H6" s="3"/>
    </row>
    <row r="7" spans="1:10" s="4" customFormat="1" ht="351" customHeight="1">
      <c r="A7" s="10"/>
      <c r="B7" s="11"/>
      <c r="E7" s="12"/>
      <c r="G7" s="2"/>
      <c r="H7" s="3"/>
    </row>
    <row r="8" spans="1:10" s="4" customFormat="1">
      <c r="A8" s="104" t="s">
        <v>13</v>
      </c>
      <c r="B8" s="104" t="s">
        <v>3</v>
      </c>
      <c r="C8" s="104" t="s">
        <v>14</v>
      </c>
      <c r="D8" s="104" t="s">
        <v>15</v>
      </c>
      <c r="E8" s="104" t="s">
        <v>16</v>
      </c>
      <c r="F8" s="104" t="s">
        <v>17</v>
      </c>
      <c r="G8" s="104" t="s">
        <v>18</v>
      </c>
      <c r="H8" s="104"/>
      <c r="I8" s="104"/>
      <c r="J8" s="104" t="s">
        <v>19</v>
      </c>
    </row>
    <row r="9" spans="1:10" s="4" customFormat="1">
      <c r="A9" s="104"/>
      <c r="B9" s="104"/>
      <c r="C9" s="104"/>
      <c r="D9" s="104"/>
      <c r="E9" s="104"/>
      <c r="F9" s="104"/>
      <c r="G9" s="104" t="s">
        <v>20</v>
      </c>
      <c r="H9" s="104"/>
      <c r="I9" s="104"/>
      <c r="J9" s="104"/>
    </row>
    <row r="10" spans="1:10" s="4" customFormat="1">
      <c r="A10" s="104"/>
      <c r="B10" s="104"/>
      <c r="C10" s="104"/>
      <c r="D10" s="104"/>
      <c r="E10" s="104"/>
      <c r="F10" s="104"/>
      <c r="G10" s="13" t="s">
        <v>21</v>
      </c>
      <c r="H10" s="14" t="s">
        <v>22</v>
      </c>
      <c r="I10" s="6" t="s">
        <v>23</v>
      </c>
      <c r="J10" s="104"/>
    </row>
    <row r="11" spans="1:10" s="4" customFormat="1">
      <c r="A11" s="105" t="s">
        <v>844</v>
      </c>
      <c r="B11" s="105"/>
      <c r="C11" s="105"/>
      <c r="D11" s="105"/>
      <c r="E11" s="105"/>
      <c r="F11" s="105"/>
      <c r="G11" s="105"/>
      <c r="H11" s="105"/>
      <c r="I11" s="105"/>
      <c r="J11" s="105"/>
    </row>
    <row r="12" spans="1:10" s="4" customFormat="1" ht="33.6" customHeight="1">
      <c r="A12" s="22" t="s">
        <v>671</v>
      </c>
      <c r="B12" s="22" t="s">
        <v>672</v>
      </c>
      <c r="C12" s="22" t="s">
        <v>673</v>
      </c>
      <c r="D12" s="22"/>
      <c r="E12" s="22" t="s">
        <v>838</v>
      </c>
      <c r="F12" s="22" t="s">
        <v>838</v>
      </c>
      <c r="G12" s="21" t="s">
        <v>24</v>
      </c>
      <c r="H12" s="17">
        <v>46130</v>
      </c>
      <c r="I12" s="17" t="s">
        <v>1127</v>
      </c>
      <c r="J12" s="16"/>
    </row>
    <row r="13" spans="1:10" s="4" customFormat="1" ht="33.6">
      <c r="A13" s="22" t="s">
        <v>674</v>
      </c>
      <c r="B13" s="22" t="s">
        <v>675</v>
      </c>
      <c r="C13" s="22" t="s">
        <v>676</v>
      </c>
      <c r="D13" s="22"/>
      <c r="E13" s="22" t="s">
        <v>804</v>
      </c>
      <c r="F13" s="22" t="s">
        <v>804</v>
      </c>
      <c r="G13" s="21" t="s">
        <v>24</v>
      </c>
      <c r="H13" s="17">
        <v>46130</v>
      </c>
      <c r="I13" s="17" t="s">
        <v>1127</v>
      </c>
      <c r="J13" s="16"/>
    </row>
    <row r="14" spans="1:10" s="4" customFormat="1" ht="33.6">
      <c r="A14" s="22" t="s">
        <v>677</v>
      </c>
      <c r="B14" s="22" t="s">
        <v>678</v>
      </c>
      <c r="C14" s="22" t="s">
        <v>679</v>
      </c>
      <c r="D14" s="22"/>
      <c r="E14" s="22" t="s">
        <v>805</v>
      </c>
      <c r="F14" s="22" t="s">
        <v>805</v>
      </c>
      <c r="G14" s="21" t="s">
        <v>24</v>
      </c>
      <c r="H14" s="17">
        <v>46130</v>
      </c>
      <c r="I14" s="17" t="s">
        <v>1127</v>
      </c>
      <c r="J14" s="16"/>
    </row>
    <row r="15" spans="1:10" s="4" customFormat="1" ht="33.6">
      <c r="A15" s="22" t="s">
        <v>680</v>
      </c>
      <c r="B15" s="22" t="s">
        <v>841</v>
      </c>
      <c r="C15" s="22" t="s">
        <v>681</v>
      </c>
      <c r="D15" s="22"/>
      <c r="E15" s="22" t="s">
        <v>832</v>
      </c>
      <c r="F15" s="22" t="s">
        <v>832</v>
      </c>
      <c r="G15" s="21" t="s">
        <v>24</v>
      </c>
      <c r="H15" s="17">
        <v>46130</v>
      </c>
      <c r="I15" s="17" t="s">
        <v>1127</v>
      </c>
      <c r="J15" s="16"/>
    </row>
    <row r="16" spans="1:10" s="4" customFormat="1" ht="33.6">
      <c r="A16" s="22" t="s">
        <v>682</v>
      </c>
      <c r="B16" s="22" t="s">
        <v>683</v>
      </c>
      <c r="C16" s="22" t="s">
        <v>684</v>
      </c>
      <c r="D16" s="22"/>
      <c r="E16" s="22" t="s">
        <v>806</v>
      </c>
      <c r="F16" s="22" t="s">
        <v>806</v>
      </c>
      <c r="G16" s="21" t="s">
        <v>24</v>
      </c>
      <c r="H16" s="17">
        <v>46130</v>
      </c>
      <c r="I16" s="17" t="s">
        <v>1127</v>
      </c>
      <c r="J16" s="16"/>
    </row>
    <row r="17" spans="1:10" s="4" customFormat="1">
      <c r="A17" s="22" t="s">
        <v>685</v>
      </c>
      <c r="B17" s="22" t="s">
        <v>842</v>
      </c>
      <c r="C17" s="22" t="s">
        <v>684</v>
      </c>
      <c r="D17" s="22"/>
      <c r="E17" s="22" t="s">
        <v>807</v>
      </c>
      <c r="F17" s="22" t="s">
        <v>807</v>
      </c>
      <c r="G17" s="21" t="s">
        <v>24</v>
      </c>
      <c r="H17" s="17">
        <v>46130</v>
      </c>
      <c r="I17" s="17" t="s">
        <v>1127</v>
      </c>
      <c r="J17" s="16"/>
    </row>
    <row r="18" spans="1:10" s="4" customFormat="1" ht="33.6">
      <c r="A18" s="22" t="s">
        <v>686</v>
      </c>
      <c r="B18" s="22" t="s">
        <v>817</v>
      </c>
      <c r="C18" s="22" t="s">
        <v>687</v>
      </c>
      <c r="D18" s="22" t="s">
        <v>500</v>
      </c>
      <c r="E18" s="22" t="s">
        <v>833</v>
      </c>
      <c r="F18" s="22" t="s">
        <v>833</v>
      </c>
      <c r="G18" s="21" t="s">
        <v>24</v>
      </c>
      <c r="H18" s="17">
        <v>46130</v>
      </c>
      <c r="I18" s="17" t="s">
        <v>1127</v>
      </c>
      <c r="J18" s="16"/>
    </row>
    <row r="19" spans="1:10" s="4" customFormat="1" ht="33.6">
      <c r="A19" s="22" t="s">
        <v>688</v>
      </c>
      <c r="B19" s="22" t="s">
        <v>818</v>
      </c>
      <c r="C19" s="22" t="s">
        <v>689</v>
      </c>
      <c r="D19" s="22" t="s">
        <v>302</v>
      </c>
      <c r="E19" s="22" t="s">
        <v>690</v>
      </c>
      <c r="F19" s="22" t="s">
        <v>690</v>
      </c>
      <c r="G19" s="21" t="s">
        <v>24</v>
      </c>
      <c r="H19" s="17">
        <v>46130</v>
      </c>
      <c r="I19" s="17" t="s">
        <v>1127</v>
      </c>
      <c r="J19" s="16"/>
    </row>
    <row r="20" spans="1:10" s="4" customFormat="1" ht="33.6">
      <c r="A20" s="22" t="s">
        <v>691</v>
      </c>
      <c r="B20" s="22" t="s">
        <v>819</v>
      </c>
      <c r="C20" s="22" t="s">
        <v>692</v>
      </c>
      <c r="D20" s="22"/>
      <c r="E20" s="22" t="s">
        <v>693</v>
      </c>
      <c r="F20" s="22" t="s">
        <v>693</v>
      </c>
      <c r="G20" s="21" t="s">
        <v>24</v>
      </c>
      <c r="H20" s="17">
        <v>46130</v>
      </c>
      <c r="I20" s="17" t="s">
        <v>1127</v>
      </c>
      <c r="J20" s="16"/>
    </row>
    <row r="21" spans="1:10" s="4" customFormat="1" ht="33.6">
      <c r="A21" s="22" t="s">
        <v>694</v>
      </c>
      <c r="B21" s="22" t="s">
        <v>820</v>
      </c>
      <c r="C21" s="22" t="s">
        <v>695</v>
      </c>
      <c r="D21" s="22"/>
      <c r="E21" s="22" t="s">
        <v>834</v>
      </c>
      <c r="F21" s="22" t="s">
        <v>834</v>
      </c>
      <c r="G21" s="21" t="s">
        <v>24</v>
      </c>
      <c r="H21" s="17">
        <v>46130</v>
      </c>
      <c r="I21" s="17" t="s">
        <v>1127</v>
      </c>
      <c r="J21" s="16"/>
    </row>
    <row r="22" spans="1:10" s="4" customFormat="1" ht="33.6">
      <c r="A22" s="22" t="s">
        <v>696</v>
      </c>
      <c r="B22" s="22" t="s">
        <v>697</v>
      </c>
      <c r="C22" s="22" t="s">
        <v>698</v>
      </c>
      <c r="D22" s="22"/>
      <c r="E22" s="22" t="s">
        <v>699</v>
      </c>
      <c r="F22" s="22" t="s">
        <v>699</v>
      </c>
      <c r="G22" s="21" t="s">
        <v>24</v>
      </c>
      <c r="H22" s="17">
        <v>46130</v>
      </c>
      <c r="I22" s="17" t="s">
        <v>1127</v>
      </c>
      <c r="J22" s="16"/>
    </row>
    <row r="23" spans="1:10" s="4" customFormat="1" ht="50.4">
      <c r="A23" s="22" t="s">
        <v>700</v>
      </c>
      <c r="B23" s="22" t="s">
        <v>701</v>
      </c>
      <c r="C23" s="22" t="s">
        <v>702</v>
      </c>
      <c r="D23" s="22" t="s">
        <v>703</v>
      </c>
      <c r="E23" s="22" t="s">
        <v>835</v>
      </c>
      <c r="F23" s="22" t="s">
        <v>835</v>
      </c>
      <c r="G23" s="21" t="s">
        <v>24</v>
      </c>
      <c r="H23" s="17">
        <v>46130</v>
      </c>
      <c r="I23" s="17" t="s">
        <v>1127</v>
      </c>
      <c r="J23" s="16"/>
    </row>
    <row r="24" spans="1:10" s="4" customFormat="1" ht="33.6">
      <c r="A24" s="22" t="s">
        <v>704</v>
      </c>
      <c r="B24" s="22" t="s">
        <v>705</v>
      </c>
      <c r="C24" s="22" t="s">
        <v>706</v>
      </c>
      <c r="D24" s="22" t="s">
        <v>707</v>
      </c>
      <c r="E24" s="22" t="s">
        <v>836</v>
      </c>
      <c r="F24" s="22" t="s">
        <v>836</v>
      </c>
      <c r="G24" s="21" t="s">
        <v>24</v>
      </c>
      <c r="H24" s="17">
        <v>46130</v>
      </c>
      <c r="I24" s="17" t="s">
        <v>1127</v>
      </c>
      <c r="J24" s="16"/>
    </row>
    <row r="25" spans="1:10" s="4" customFormat="1" ht="33.6">
      <c r="A25" s="22" t="s">
        <v>708</v>
      </c>
      <c r="B25" s="22" t="s">
        <v>709</v>
      </c>
      <c r="C25" s="22" t="s">
        <v>710</v>
      </c>
      <c r="D25" s="22" t="s">
        <v>711</v>
      </c>
      <c r="E25" s="22" t="s">
        <v>712</v>
      </c>
      <c r="F25" s="22" t="s">
        <v>712</v>
      </c>
      <c r="G25" s="21" t="s">
        <v>24</v>
      </c>
      <c r="H25" s="17">
        <v>46130</v>
      </c>
      <c r="I25" s="17" t="s">
        <v>1127</v>
      </c>
      <c r="J25" s="16"/>
    </row>
    <row r="26" spans="1:10" s="4" customFormat="1" ht="33.6">
      <c r="A26" s="22" t="s">
        <v>713</v>
      </c>
      <c r="B26" s="22" t="s">
        <v>714</v>
      </c>
      <c r="C26" s="22" t="s">
        <v>715</v>
      </c>
      <c r="D26" s="22" t="s">
        <v>711</v>
      </c>
      <c r="E26" s="22" t="s">
        <v>716</v>
      </c>
      <c r="F26" s="22" t="s">
        <v>716</v>
      </c>
      <c r="G26" s="21" t="s">
        <v>24</v>
      </c>
      <c r="H26" s="17">
        <v>46130</v>
      </c>
      <c r="I26" s="17" t="s">
        <v>1127</v>
      </c>
      <c r="J26" s="16"/>
    </row>
    <row r="27" spans="1:10" s="4" customFormat="1" ht="50.4">
      <c r="A27" s="22" t="s">
        <v>717</v>
      </c>
      <c r="B27" s="22" t="s">
        <v>718</v>
      </c>
      <c r="C27" s="22" t="s">
        <v>719</v>
      </c>
      <c r="D27" s="22" t="s">
        <v>720</v>
      </c>
      <c r="E27" s="22" t="s">
        <v>721</v>
      </c>
      <c r="F27" s="22" t="s">
        <v>721</v>
      </c>
      <c r="G27" s="21" t="s">
        <v>24</v>
      </c>
      <c r="H27" s="17">
        <v>46130</v>
      </c>
      <c r="I27" s="17" t="s">
        <v>1127</v>
      </c>
      <c r="J27" s="16"/>
    </row>
    <row r="28" spans="1:10" s="4" customFormat="1" ht="50.4">
      <c r="A28" s="22" t="s">
        <v>722</v>
      </c>
      <c r="B28" s="22" t="s">
        <v>723</v>
      </c>
      <c r="C28" s="22" t="s">
        <v>724</v>
      </c>
      <c r="D28" s="22"/>
      <c r="E28" s="22" t="s">
        <v>725</v>
      </c>
      <c r="F28" s="22" t="s">
        <v>725</v>
      </c>
      <c r="G28" s="21" t="s">
        <v>24</v>
      </c>
      <c r="H28" s="17">
        <v>46130</v>
      </c>
      <c r="I28" s="17" t="s">
        <v>1127</v>
      </c>
      <c r="J28" s="16"/>
    </row>
    <row r="29" spans="1:10" s="4" customFormat="1" ht="33.6">
      <c r="A29" s="22" t="s">
        <v>726</v>
      </c>
      <c r="B29" s="22" t="s">
        <v>727</v>
      </c>
      <c r="C29" s="22" t="s">
        <v>728</v>
      </c>
      <c r="D29" s="22" t="s">
        <v>729</v>
      </c>
      <c r="E29" s="22" t="s">
        <v>730</v>
      </c>
      <c r="F29" s="22" t="s">
        <v>730</v>
      </c>
      <c r="G29" s="21" t="s">
        <v>24</v>
      </c>
      <c r="H29" s="17">
        <v>46130</v>
      </c>
      <c r="I29" s="17" t="s">
        <v>1127</v>
      </c>
      <c r="J29" s="16"/>
    </row>
    <row r="30" spans="1:10" s="4" customFormat="1" ht="50.4">
      <c r="A30" s="22" t="s">
        <v>731</v>
      </c>
      <c r="B30" s="22" t="s">
        <v>821</v>
      </c>
      <c r="C30" s="22" t="s">
        <v>732</v>
      </c>
      <c r="D30" s="22"/>
      <c r="E30" s="22" t="s">
        <v>837</v>
      </c>
      <c r="F30" s="22" t="s">
        <v>837</v>
      </c>
      <c r="G30" s="21" t="s">
        <v>24</v>
      </c>
      <c r="H30" s="17">
        <v>46130</v>
      </c>
      <c r="I30" s="17" t="s">
        <v>1127</v>
      </c>
      <c r="J30" s="16"/>
    </row>
    <row r="31" spans="1:10" s="4" customFormat="1" ht="50.4">
      <c r="A31" s="22" t="s">
        <v>733</v>
      </c>
      <c r="B31" s="22" t="s">
        <v>822</v>
      </c>
      <c r="C31" s="22" t="s">
        <v>734</v>
      </c>
      <c r="D31" s="22"/>
      <c r="E31" s="22" t="s">
        <v>802</v>
      </c>
      <c r="F31" s="22" t="s">
        <v>802</v>
      </c>
      <c r="G31" s="21" t="s">
        <v>24</v>
      </c>
      <c r="H31" s="17">
        <v>46130</v>
      </c>
      <c r="I31" s="17" t="s">
        <v>1127</v>
      </c>
      <c r="J31" s="16"/>
    </row>
    <row r="32" spans="1:10" s="4" customFormat="1" ht="50.4">
      <c r="A32" s="22" t="s">
        <v>735</v>
      </c>
      <c r="B32" s="22" t="s">
        <v>736</v>
      </c>
      <c r="C32" s="22" t="s">
        <v>737</v>
      </c>
      <c r="D32" s="22"/>
      <c r="E32" s="22" t="s">
        <v>825</v>
      </c>
      <c r="F32" s="22" t="s">
        <v>825</v>
      </c>
      <c r="G32" s="21" t="s">
        <v>24</v>
      </c>
      <c r="H32" s="17">
        <v>46130</v>
      </c>
      <c r="I32" s="17" t="s">
        <v>1127</v>
      </c>
      <c r="J32" s="16"/>
    </row>
    <row r="33" spans="1:10" s="4" customFormat="1" ht="33.6">
      <c r="A33" s="22" t="s">
        <v>738</v>
      </c>
      <c r="B33" s="22" t="s">
        <v>739</v>
      </c>
      <c r="C33" s="22" t="s">
        <v>740</v>
      </c>
      <c r="D33" s="22" t="s">
        <v>741</v>
      </c>
      <c r="E33" s="22" t="s">
        <v>808</v>
      </c>
      <c r="F33" s="22" t="s">
        <v>808</v>
      </c>
      <c r="G33" s="21" t="s">
        <v>24</v>
      </c>
      <c r="H33" s="17">
        <v>46130</v>
      </c>
      <c r="I33" s="17" t="s">
        <v>1127</v>
      </c>
      <c r="J33" s="16"/>
    </row>
    <row r="34" spans="1:10" s="4" customFormat="1" ht="50.4">
      <c r="A34" s="22" t="s">
        <v>742</v>
      </c>
      <c r="B34" s="22" t="s">
        <v>743</v>
      </c>
      <c r="C34" s="22" t="s">
        <v>744</v>
      </c>
      <c r="D34" s="22"/>
      <c r="E34" s="22" t="s">
        <v>745</v>
      </c>
      <c r="F34" s="22" t="s">
        <v>745</v>
      </c>
      <c r="G34" s="21" t="s">
        <v>24</v>
      </c>
      <c r="H34" s="17">
        <v>46130</v>
      </c>
      <c r="I34" s="17" t="s">
        <v>1127</v>
      </c>
      <c r="J34" s="16"/>
    </row>
    <row r="35" spans="1:10" s="4" customFormat="1" ht="50.4">
      <c r="A35" s="22" t="s">
        <v>746</v>
      </c>
      <c r="B35" s="22" t="s">
        <v>747</v>
      </c>
      <c r="C35" s="22" t="s">
        <v>748</v>
      </c>
      <c r="D35" s="22" t="s">
        <v>749</v>
      </c>
      <c r="E35" s="22" t="s">
        <v>809</v>
      </c>
      <c r="F35" s="22" t="s">
        <v>809</v>
      </c>
      <c r="G35" s="21" t="s">
        <v>24</v>
      </c>
      <c r="H35" s="17">
        <v>46130</v>
      </c>
      <c r="I35" s="17" t="s">
        <v>1127</v>
      </c>
      <c r="J35" s="16"/>
    </row>
    <row r="36" spans="1:10" s="4" customFormat="1" ht="33.6">
      <c r="A36" s="22" t="s">
        <v>750</v>
      </c>
      <c r="B36" s="22" t="s">
        <v>751</v>
      </c>
      <c r="C36" s="22" t="s">
        <v>752</v>
      </c>
      <c r="D36" s="22"/>
      <c r="E36" s="22" t="s">
        <v>815</v>
      </c>
      <c r="F36" s="22" t="s">
        <v>815</v>
      </c>
      <c r="G36" s="21" t="s">
        <v>24</v>
      </c>
      <c r="H36" s="17">
        <v>46130</v>
      </c>
      <c r="I36" s="17" t="s">
        <v>1127</v>
      </c>
      <c r="J36" s="16"/>
    </row>
    <row r="37" spans="1:10" s="4" customFormat="1" ht="67.2">
      <c r="A37" s="22" t="s">
        <v>753</v>
      </c>
      <c r="B37" s="22" t="s">
        <v>754</v>
      </c>
      <c r="C37" s="22" t="s">
        <v>755</v>
      </c>
      <c r="D37" s="22" t="s">
        <v>756</v>
      </c>
      <c r="E37" s="22" t="s">
        <v>757</v>
      </c>
      <c r="F37" s="22" t="s">
        <v>757</v>
      </c>
      <c r="G37" s="21" t="s">
        <v>24</v>
      </c>
      <c r="H37" s="17">
        <v>46130</v>
      </c>
      <c r="I37" s="17" t="s">
        <v>1127</v>
      </c>
      <c r="J37" s="16"/>
    </row>
    <row r="38" spans="1:10" s="4" customFormat="1">
      <c r="A38" s="106" t="s">
        <v>843</v>
      </c>
      <c r="B38" s="106"/>
      <c r="C38" s="106"/>
      <c r="D38" s="106"/>
      <c r="E38" s="106"/>
      <c r="F38" s="106"/>
      <c r="G38" s="105"/>
      <c r="H38" s="105"/>
      <c r="I38" s="105"/>
      <c r="J38" s="105"/>
    </row>
    <row r="39" spans="1:10" s="4" customFormat="1" ht="50.4">
      <c r="A39" s="22" t="s">
        <v>758</v>
      </c>
      <c r="B39" s="22" t="s">
        <v>814</v>
      </c>
      <c r="C39" s="22" t="s">
        <v>810</v>
      </c>
      <c r="D39" s="22"/>
      <c r="E39" s="22" t="s">
        <v>759</v>
      </c>
      <c r="F39" s="22" t="s">
        <v>759</v>
      </c>
      <c r="G39" s="21" t="s">
        <v>24</v>
      </c>
      <c r="H39" s="17">
        <v>46130</v>
      </c>
      <c r="I39" s="17" t="s">
        <v>1127</v>
      </c>
      <c r="J39" s="16"/>
    </row>
    <row r="40" spans="1:10" s="4" customFormat="1">
      <c r="A40" s="22" t="s">
        <v>760</v>
      </c>
      <c r="B40" s="22" t="s">
        <v>761</v>
      </c>
      <c r="C40" s="22" t="s">
        <v>762</v>
      </c>
      <c r="D40" s="22"/>
      <c r="E40" s="22" t="s">
        <v>763</v>
      </c>
      <c r="F40" s="22" t="s">
        <v>763</v>
      </c>
      <c r="G40" s="21" t="s">
        <v>24</v>
      </c>
      <c r="H40" s="17">
        <v>46130</v>
      </c>
      <c r="I40" s="17" t="s">
        <v>1127</v>
      </c>
      <c r="J40" s="16"/>
    </row>
    <row r="41" spans="1:10" s="4" customFormat="1" ht="50.4">
      <c r="A41" s="22" t="s">
        <v>764</v>
      </c>
      <c r="B41" s="22" t="s">
        <v>765</v>
      </c>
      <c r="C41" s="22" t="s">
        <v>766</v>
      </c>
      <c r="D41" s="22"/>
      <c r="E41" s="22" t="s">
        <v>767</v>
      </c>
      <c r="F41" s="22" t="s">
        <v>767</v>
      </c>
      <c r="G41" s="21" t="s">
        <v>24</v>
      </c>
      <c r="H41" s="17">
        <v>46130</v>
      </c>
      <c r="I41" s="17" t="s">
        <v>1127</v>
      </c>
      <c r="J41" s="16"/>
    </row>
    <row r="42" spans="1:10" s="4" customFormat="1" ht="33.6">
      <c r="A42" s="22" t="s">
        <v>768</v>
      </c>
      <c r="B42" s="22" t="s">
        <v>840</v>
      </c>
      <c r="C42" s="22" t="s">
        <v>827</v>
      </c>
      <c r="D42" s="22"/>
      <c r="E42" s="22" t="s">
        <v>769</v>
      </c>
      <c r="F42" s="22" t="s">
        <v>769</v>
      </c>
      <c r="G42" s="21" t="s">
        <v>24</v>
      </c>
      <c r="H42" s="17">
        <v>46130</v>
      </c>
      <c r="I42" s="17" t="s">
        <v>1127</v>
      </c>
      <c r="J42" s="16"/>
    </row>
    <row r="43" spans="1:10" s="4" customFormat="1" ht="33.6">
      <c r="A43" s="22" t="s">
        <v>770</v>
      </c>
      <c r="B43" s="22" t="s">
        <v>839</v>
      </c>
      <c r="C43" s="22" t="s">
        <v>828</v>
      </c>
      <c r="D43" s="22"/>
      <c r="E43" s="22" t="s">
        <v>771</v>
      </c>
      <c r="F43" s="22" t="s">
        <v>771</v>
      </c>
      <c r="G43" s="21" t="s">
        <v>24</v>
      </c>
      <c r="H43" s="17">
        <v>46130</v>
      </c>
      <c r="I43" s="17" t="s">
        <v>1127</v>
      </c>
      <c r="J43" s="16"/>
    </row>
    <row r="44" spans="1:10" s="4" customFormat="1" ht="33.6">
      <c r="A44" s="22" t="s">
        <v>772</v>
      </c>
      <c r="B44" s="22" t="s">
        <v>773</v>
      </c>
      <c r="C44" s="22" t="s">
        <v>830</v>
      </c>
      <c r="D44" s="22" t="s">
        <v>774</v>
      </c>
      <c r="E44" s="22" t="s">
        <v>775</v>
      </c>
      <c r="F44" s="22" t="s">
        <v>775</v>
      </c>
      <c r="G44" s="21" t="s">
        <v>24</v>
      </c>
      <c r="H44" s="17">
        <v>46130</v>
      </c>
      <c r="I44" s="17" t="s">
        <v>1127</v>
      </c>
      <c r="J44" s="16"/>
    </row>
    <row r="45" spans="1:10" s="4" customFormat="1" ht="33.6">
      <c r="A45" s="22" t="s">
        <v>776</v>
      </c>
      <c r="B45" s="22" t="s">
        <v>777</v>
      </c>
      <c r="C45" s="22" t="s">
        <v>831</v>
      </c>
      <c r="D45" s="22"/>
      <c r="E45" s="22" t="s">
        <v>811</v>
      </c>
      <c r="F45" s="22" t="s">
        <v>811</v>
      </c>
      <c r="G45" s="21" t="s">
        <v>24</v>
      </c>
      <c r="H45" s="17">
        <v>46130</v>
      </c>
      <c r="I45" s="17" t="s">
        <v>1127</v>
      </c>
      <c r="J45" s="16"/>
    </row>
    <row r="46" spans="1:10" s="4" customFormat="1" ht="50.4">
      <c r="A46" s="22" t="s">
        <v>778</v>
      </c>
      <c r="B46" s="22" t="s">
        <v>779</v>
      </c>
      <c r="C46" s="22" t="s">
        <v>689</v>
      </c>
      <c r="D46" s="22" t="s">
        <v>500</v>
      </c>
      <c r="E46" s="22" t="s">
        <v>812</v>
      </c>
      <c r="F46" s="22" t="s">
        <v>812</v>
      </c>
      <c r="G46" s="21" t="s">
        <v>24</v>
      </c>
      <c r="H46" s="17">
        <v>46130</v>
      </c>
      <c r="I46" s="17" t="s">
        <v>1127</v>
      </c>
      <c r="J46" s="16"/>
    </row>
    <row r="47" spans="1:10" s="4" customFormat="1" ht="33.6">
      <c r="A47" s="22" t="s">
        <v>780</v>
      </c>
      <c r="B47" s="22" t="s">
        <v>781</v>
      </c>
      <c r="C47" s="22" t="s">
        <v>803</v>
      </c>
      <c r="D47" s="22"/>
      <c r="E47" s="22" t="s">
        <v>813</v>
      </c>
      <c r="F47" s="22" t="s">
        <v>813</v>
      </c>
      <c r="G47" s="21" t="s">
        <v>24</v>
      </c>
      <c r="H47" s="17">
        <v>46130</v>
      </c>
      <c r="I47" s="17" t="s">
        <v>1127</v>
      </c>
      <c r="J47" s="16"/>
    </row>
    <row r="48" spans="1:10" ht="50.4">
      <c r="A48" s="22" t="s">
        <v>782</v>
      </c>
      <c r="B48" s="22" t="s">
        <v>783</v>
      </c>
      <c r="C48" s="22" t="s">
        <v>829</v>
      </c>
      <c r="D48" s="22"/>
      <c r="E48" s="22" t="s">
        <v>816</v>
      </c>
      <c r="F48" s="22" t="s">
        <v>816</v>
      </c>
      <c r="G48" s="21" t="s">
        <v>24</v>
      </c>
      <c r="H48" s="17">
        <v>46130</v>
      </c>
      <c r="I48" s="17" t="s">
        <v>1127</v>
      </c>
      <c r="J48" s="16"/>
    </row>
    <row r="49" spans="1:10" ht="50.4">
      <c r="A49" s="22" t="s">
        <v>784</v>
      </c>
      <c r="B49" s="22" t="s">
        <v>299</v>
      </c>
      <c r="C49" s="22" t="s">
        <v>796</v>
      </c>
      <c r="D49" s="22"/>
      <c r="E49" s="22" t="s">
        <v>324</v>
      </c>
      <c r="F49" s="22" t="s">
        <v>324</v>
      </c>
      <c r="G49" s="21" t="s">
        <v>24</v>
      </c>
      <c r="H49" s="17">
        <v>46130</v>
      </c>
      <c r="I49" s="17" t="s">
        <v>1127</v>
      </c>
      <c r="J49" s="16"/>
    </row>
    <row r="50" spans="1:10" ht="33.6">
      <c r="A50" s="22" t="s">
        <v>785</v>
      </c>
      <c r="B50" s="22" t="s">
        <v>786</v>
      </c>
      <c r="C50" s="22" t="s">
        <v>797</v>
      </c>
      <c r="D50" s="22" t="s">
        <v>518</v>
      </c>
      <c r="E50" s="22" t="s">
        <v>823</v>
      </c>
      <c r="F50" s="22" t="s">
        <v>823</v>
      </c>
      <c r="G50" s="21" t="s">
        <v>24</v>
      </c>
      <c r="H50" s="17">
        <v>46130</v>
      </c>
      <c r="I50" s="17" t="s">
        <v>1127</v>
      </c>
      <c r="J50" s="18"/>
    </row>
    <row r="51" spans="1:10" ht="100.8">
      <c r="A51" s="22" t="s">
        <v>787</v>
      </c>
      <c r="B51" s="22" t="s">
        <v>788</v>
      </c>
      <c r="C51" s="22" t="s">
        <v>789</v>
      </c>
      <c r="D51" s="22" t="s">
        <v>518</v>
      </c>
      <c r="E51" s="22" t="s">
        <v>824</v>
      </c>
      <c r="F51" s="22" t="s">
        <v>824</v>
      </c>
      <c r="G51" s="21" t="s">
        <v>24</v>
      </c>
      <c r="H51" s="17">
        <v>46130</v>
      </c>
      <c r="I51" s="17" t="s">
        <v>1127</v>
      </c>
      <c r="J51" s="18"/>
    </row>
    <row r="52" spans="1:10" ht="50.4">
      <c r="A52" s="22" t="s">
        <v>790</v>
      </c>
      <c r="B52" s="22" t="s">
        <v>791</v>
      </c>
      <c r="C52" s="22" t="s">
        <v>798</v>
      </c>
      <c r="D52" s="22" t="s">
        <v>741</v>
      </c>
      <c r="E52" s="22" t="s">
        <v>799</v>
      </c>
      <c r="F52" s="22" t="s">
        <v>799</v>
      </c>
      <c r="G52" s="28" t="s">
        <v>670</v>
      </c>
      <c r="H52" s="17">
        <v>46130</v>
      </c>
      <c r="I52" s="17" t="s">
        <v>1127</v>
      </c>
      <c r="J52" s="18"/>
    </row>
    <row r="53" spans="1:10" ht="33.6">
      <c r="A53" s="22" t="s">
        <v>792</v>
      </c>
      <c r="B53" s="22" t="s">
        <v>793</v>
      </c>
      <c r="C53" s="22" t="s">
        <v>798</v>
      </c>
      <c r="D53" s="22" t="s">
        <v>500</v>
      </c>
      <c r="E53" s="22" t="s">
        <v>800</v>
      </c>
      <c r="F53" s="22" t="s">
        <v>800</v>
      </c>
      <c r="G53" s="28" t="s">
        <v>670</v>
      </c>
      <c r="H53" s="17">
        <v>46130</v>
      </c>
      <c r="I53" s="17" t="s">
        <v>1127</v>
      </c>
      <c r="J53" s="18"/>
    </row>
    <row r="54" spans="1:10" ht="50.4">
      <c r="A54" s="22" t="s">
        <v>794</v>
      </c>
      <c r="B54" s="22" t="s">
        <v>795</v>
      </c>
      <c r="C54" s="22" t="s">
        <v>801</v>
      </c>
      <c r="D54" s="22"/>
      <c r="E54" s="22" t="s">
        <v>826</v>
      </c>
      <c r="F54" s="22" t="s">
        <v>826</v>
      </c>
      <c r="G54" s="21" t="s">
        <v>24</v>
      </c>
      <c r="H54" s="17">
        <v>46130</v>
      </c>
      <c r="I54" s="17" t="s">
        <v>1127</v>
      </c>
      <c r="J54" s="18"/>
    </row>
  </sheetData>
  <mergeCells count="13">
    <mergeCell ref="A38:J38"/>
    <mergeCell ref="G8:I8"/>
    <mergeCell ref="J8:J10"/>
    <mergeCell ref="G9:I9"/>
    <mergeCell ref="A11:J11"/>
    <mergeCell ref="B1:F1"/>
    <mergeCell ref="B2:F2"/>
    <mergeCell ref="A8:A10"/>
    <mergeCell ref="B8:B10"/>
    <mergeCell ref="C8:C10"/>
    <mergeCell ref="D8:D10"/>
    <mergeCell ref="E8:E10"/>
    <mergeCell ref="F8:F10"/>
  </mergeCells>
  <conditionalFormatting sqref="G12:G37">
    <cfRule type="containsText" dxfId="39" priority="5" operator="containsText" text="Hoàn thành">
      <formula>NOT(ISERROR(SEARCH("Hoàn thành",G12)))</formula>
    </cfRule>
    <cfRule type="containsText" dxfId="38" priority="6" operator="containsText" text="Lỗi">
      <formula>NOT(ISERROR(SEARCH("Lỗi",G12)))</formula>
    </cfRule>
    <cfRule type="containsText" dxfId="37" priority="7" operator="containsText" text="Hoàn thành">
      <formula>NOT(ISERROR(SEARCH("Hoàn thành",G12)))</formula>
    </cfRule>
    <cfRule type="containsText" dxfId="36" priority="8" operator="containsText" text="Hoàn thành">
      <formula>NOT(ISERROR(SEARCH("Hoàn thành",G12)))</formula>
    </cfRule>
  </conditionalFormatting>
  <conditionalFormatting sqref="G39:G54">
    <cfRule type="containsText" dxfId="35" priority="1" operator="containsText" text="Hoàn thành">
      <formula>NOT(ISERROR(SEARCH("Hoàn thành",G39)))</formula>
    </cfRule>
    <cfRule type="containsText" dxfId="34" priority="2" operator="containsText" text="Lỗi">
      <formula>NOT(ISERROR(SEARCH("Lỗi",G39)))</formula>
    </cfRule>
    <cfRule type="containsText" dxfId="33" priority="3" operator="containsText" text="Hoàn thành">
      <formula>NOT(ISERROR(SEARCH("Hoàn thành",G39)))</formula>
    </cfRule>
    <cfRule type="containsText" dxfId="32" priority="4" operator="containsText" text="Hoàn thành">
      <formula>NOT(ISERROR(SEARCH("Hoàn thành",G39)))</formula>
    </cfRule>
  </conditionalFormatting>
  <dataValidations count="1">
    <dataValidation type="list" allowBlank="1" showInputMessage="1" showErrorMessage="1" sqref="G12:G37 G39:G54" xr:uid="{57390921-2507-4D85-A0C6-8E3E4873F783}">
      <formula1>"Pass, Fail, Chưa kiểm tra, Bị chặn"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B35BC5-0CDC-4305-9E27-8D9CFF75E8F2}">
  <sheetPr>
    <tabColor theme="5"/>
  </sheetPr>
  <dimension ref="A1:J35"/>
  <sheetViews>
    <sheetView tabSelected="1" topLeftCell="C16" zoomScale="80" workbookViewId="0">
      <selection activeCell="H21" sqref="H21:I35"/>
    </sheetView>
  </sheetViews>
  <sheetFormatPr defaultColWidth="9.109375" defaultRowHeight="16.8"/>
  <cols>
    <col min="1" max="1" width="21.33203125" style="15" bestFit="1" customWidth="1"/>
    <col min="2" max="2" width="47.33203125" style="15" customWidth="1"/>
    <col min="3" max="3" width="34.33203125" style="15" bestFit="1" customWidth="1"/>
    <col min="4" max="4" width="29" style="15" bestFit="1" customWidth="1"/>
    <col min="5" max="5" width="40" style="15" bestFit="1" customWidth="1"/>
    <col min="6" max="6" width="46" style="15" bestFit="1" customWidth="1"/>
    <col min="7" max="7" width="16" style="15" bestFit="1" customWidth="1"/>
    <col min="8" max="8" width="21.5546875" style="15" bestFit="1" customWidth="1"/>
    <col min="9" max="9" width="22.6640625" style="15" bestFit="1" customWidth="1"/>
    <col min="10" max="10" width="16" style="15" bestFit="1" customWidth="1"/>
    <col min="11" max="16384" width="9.109375" style="15"/>
  </cols>
  <sheetData>
    <row r="1" spans="1:10" s="4" customFormat="1">
      <c r="A1" s="1" t="s">
        <v>4</v>
      </c>
      <c r="B1" s="102" t="s">
        <v>1</v>
      </c>
      <c r="C1" s="102"/>
      <c r="D1" s="102"/>
      <c r="E1" s="102"/>
      <c r="F1" s="102"/>
      <c r="G1" s="2"/>
      <c r="H1" s="3"/>
    </row>
    <row r="2" spans="1:10" s="4" customFormat="1">
      <c r="A2" s="1" t="s">
        <v>5</v>
      </c>
      <c r="B2" s="103" t="s">
        <v>667</v>
      </c>
      <c r="C2" s="103"/>
      <c r="D2" s="103"/>
      <c r="E2" s="103"/>
      <c r="F2" s="103"/>
      <c r="G2" s="2"/>
      <c r="H2" s="3"/>
    </row>
    <row r="3" spans="1:10" s="4" customFormat="1">
      <c r="A3" s="5"/>
      <c r="B3" s="6" t="s">
        <v>6</v>
      </c>
      <c r="C3" s="6" t="s">
        <v>7</v>
      </c>
      <c r="D3" s="6" t="s">
        <v>8</v>
      </c>
      <c r="E3" s="6" t="s">
        <v>9</v>
      </c>
      <c r="F3" s="6" t="s">
        <v>10</v>
      </c>
      <c r="G3" s="2"/>
      <c r="H3" s="3"/>
    </row>
    <row r="4" spans="1:10" s="4" customFormat="1">
      <c r="A4" s="7" t="s">
        <v>11</v>
      </c>
      <c r="B4" s="8">
        <v>23</v>
      </c>
      <c r="C4" s="8">
        <v>0</v>
      </c>
      <c r="D4" s="5">
        <v>0</v>
      </c>
      <c r="E4" s="9">
        <v>0</v>
      </c>
      <c r="F4" s="5">
        <f>SUM(B4:E4)</f>
        <v>23</v>
      </c>
      <c r="G4" s="2"/>
      <c r="H4" s="3"/>
    </row>
    <row r="5" spans="1:10" s="4" customFormat="1">
      <c r="A5" s="7" t="s">
        <v>12</v>
      </c>
      <c r="B5" s="8">
        <v>23</v>
      </c>
      <c r="C5" s="8">
        <v>0</v>
      </c>
      <c r="D5" s="5">
        <v>0</v>
      </c>
      <c r="E5" s="9">
        <v>0</v>
      </c>
      <c r="F5" s="5">
        <f>SUM(B5:E5)</f>
        <v>23</v>
      </c>
      <c r="G5" s="2"/>
      <c r="H5" s="3"/>
    </row>
    <row r="6" spans="1:10" s="4" customFormat="1" ht="258" customHeight="1">
      <c r="A6" s="10"/>
      <c r="B6" s="11"/>
      <c r="E6" s="12"/>
      <c r="G6" s="2"/>
      <c r="H6" s="3"/>
    </row>
    <row r="7" spans="1:10" s="4" customFormat="1" ht="351" customHeight="1">
      <c r="A7" s="10"/>
      <c r="B7" s="11"/>
      <c r="E7" s="12"/>
      <c r="G7" s="2"/>
      <c r="H7" s="3"/>
    </row>
    <row r="8" spans="1:10" s="4" customFormat="1">
      <c r="A8" s="104" t="s">
        <v>13</v>
      </c>
      <c r="B8" s="104" t="s">
        <v>3</v>
      </c>
      <c r="C8" s="104" t="s">
        <v>14</v>
      </c>
      <c r="D8" s="104" t="s">
        <v>15</v>
      </c>
      <c r="E8" s="104" t="s">
        <v>16</v>
      </c>
      <c r="F8" s="104" t="s">
        <v>17</v>
      </c>
      <c r="G8" s="104" t="s">
        <v>18</v>
      </c>
      <c r="H8" s="104"/>
      <c r="I8" s="104"/>
      <c r="J8" s="104" t="s">
        <v>19</v>
      </c>
    </row>
    <row r="9" spans="1:10" s="4" customFormat="1">
      <c r="A9" s="104"/>
      <c r="B9" s="104"/>
      <c r="C9" s="104"/>
      <c r="D9" s="104"/>
      <c r="E9" s="104"/>
      <c r="F9" s="104"/>
      <c r="G9" s="104" t="s">
        <v>20</v>
      </c>
      <c r="H9" s="104"/>
      <c r="I9" s="104"/>
      <c r="J9" s="104"/>
    </row>
    <row r="10" spans="1:10" s="4" customFormat="1">
      <c r="A10" s="104"/>
      <c r="B10" s="104"/>
      <c r="C10" s="104"/>
      <c r="D10" s="104"/>
      <c r="E10" s="104"/>
      <c r="F10" s="104"/>
      <c r="G10" s="13" t="s">
        <v>21</v>
      </c>
      <c r="H10" s="14" t="s">
        <v>22</v>
      </c>
      <c r="I10" s="6" t="s">
        <v>23</v>
      </c>
      <c r="J10" s="104"/>
    </row>
    <row r="11" spans="1:10" s="4" customFormat="1">
      <c r="A11" s="105" t="s">
        <v>1097</v>
      </c>
      <c r="B11" s="105"/>
      <c r="C11" s="105"/>
      <c r="D11" s="105"/>
      <c r="E11" s="105"/>
      <c r="F11" s="105"/>
      <c r="G11" s="105"/>
      <c r="H11" s="105"/>
      <c r="I11" s="105"/>
      <c r="J11" s="105"/>
    </row>
    <row r="12" spans="1:10" s="4" customFormat="1" ht="33.6">
      <c r="A12" s="22" t="s">
        <v>996</v>
      </c>
      <c r="B12" s="22" t="s">
        <v>997</v>
      </c>
      <c r="C12" s="22" t="s">
        <v>998</v>
      </c>
      <c r="D12" s="22"/>
      <c r="E12" s="22" t="s">
        <v>1087</v>
      </c>
      <c r="F12" s="22" t="s">
        <v>1087</v>
      </c>
      <c r="G12" s="21" t="s">
        <v>24</v>
      </c>
      <c r="H12" s="17">
        <v>46122</v>
      </c>
      <c r="I12" s="17" t="s">
        <v>1127</v>
      </c>
      <c r="J12" s="16"/>
    </row>
    <row r="13" spans="1:10" s="4" customFormat="1" ht="33.6">
      <c r="A13" s="22" t="s">
        <v>999</v>
      </c>
      <c r="B13" s="22" t="s">
        <v>1000</v>
      </c>
      <c r="C13" s="22" t="s">
        <v>1001</v>
      </c>
      <c r="D13" s="22" t="s">
        <v>1002</v>
      </c>
      <c r="E13" s="22" t="s">
        <v>1079</v>
      </c>
      <c r="F13" s="22" t="s">
        <v>1079</v>
      </c>
      <c r="G13" s="21" t="s">
        <v>24</v>
      </c>
      <c r="H13" s="17">
        <v>46122</v>
      </c>
      <c r="I13" s="17" t="s">
        <v>1127</v>
      </c>
      <c r="J13" s="16"/>
    </row>
    <row r="14" spans="1:10" s="4" customFormat="1" ht="50.4">
      <c r="A14" s="22" t="s">
        <v>1003</v>
      </c>
      <c r="B14" s="22" t="s">
        <v>1004</v>
      </c>
      <c r="C14" s="22" t="s">
        <v>1005</v>
      </c>
      <c r="D14" s="22" t="s">
        <v>1006</v>
      </c>
      <c r="E14" s="22" t="s">
        <v>1086</v>
      </c>
      <c r="F14" s="22" t="s">
        <v>1086</v>
      </c>
      <c r="G14" s="21" t="s">
        <v>24</v>
      </c>
      <c r="H14" s="17">
        <v>46122</v>
      </c>
      <c r="I14" s="17" t="s">
        <v>1127</v>
      </c>
      <c r="J14" s="16"/>
    </row>
    <row r="15" spans="1:10" s="4" customFormat="1" ht="67.2">
      <c r="A15" s="22" t="s">
        <v>1007</v>
      </c>
      <c r="B15" s="22" t="s">
        <v>1008</v>
      </c>
      <c r="C15" s="22" t="s">
        <v>1009</v>
      </c>
      <c r="D15" s="22" t="s">
        <v>1010</v>
      </c>
      <c r="E15" s="22" t="s">
        <v>1096</v>
      </c>
      <c r="F15" s="22" t="s">
        <v>1096</v>
      </c>
      <c r="G15" s="21" t="s">
        <v>24</v>
      </c>
      <c r="H15" s="17">
        <v>46122</v>
      </c>
      <c r="I15" s="17" t="s">
        <v>1127</v>
      </c>
      <c r="J15" s="16"/>
    </row>
    <row r="16" spans="1:10" s="4" customFormat="1" ht="84">
      <c r="A16" s="22" t="s">
        <v>1011</v>
      </c>
      <c r="B16" s="22" t="s">
        <v>1012</v>
      </c>
      <c r="C16" s="22" t="s">
        <v>1013</v>
      </c>
      <c r="D16" s="22" t="s">
        <v>1014</v>
      </c>
      <c r="E16" s="22" t="s">
        <v>1088</v>
      </c>
      <c r="F16" s="22" t="s">
        <v>1088</v>
      </c>
      <c r="G16" s="21" t="s">
        <v>24</v>
      </c>
      <c r="H16" s="17">
        <v>46122</v>
      </c>
      <c r="I16" s="17" t="s">
        <v>1127</v>
      </c>
      <c r="J16" s="16"/>
    </row>
    <row r="17" spans="1:10" s="4" customFormat="1" ht="33.6">
      <c r="A17" s="22" t="s">
        <v>1015</v>
      </c>
      <c r="B17" s="22" t="s">
        <v>1016</v>
      </c>
      <c r="C17" s="22" t="s">
        <v>1017</v>
      </c>
      <c r="D17" s="22"/>
      <c r="E17" s="22" t="s">
        <v>1018</v>
      </c>
      <c r="F17" s="22" t="s">
        <v>1018</v>
      </c>
      <c r="G17" s="21" t="s">
        <v>24</v>
      </c>
      <c r="H17" s="17">
        <v>46122</v>
      </c>
      <c r="I17" s="17" t="s">
        <v>1127</v>
      </c>
      <c r="J17" s="16"/>
    </row>
    <row r="18" spans="1:10" s="4" customFormat="1" ht="33.6">
      <c r="A18" s="22" t="s">
        <v>1019</v>
      </c>
      <c r="B18" s="22" t="s">
        <v>1020</v>
      </c>
      <c r="C18" s="22" t="s">
        <v>1021</v>
      </c>
      <c r="D18" s="22"/>
      <c r="E18" s="22" t="s">
        <v>1022</v>
      </c>
      <c r="F18" s="22" t="s">
        <v>1022</v>
      </c>
      <c r="G18" s="21" t="s">
        <v>24</v>
      </c>
      <c r="H18" s="17">
        <v>46122</v>
      </c>
      <c r="I18" s="17" t="s">
        <v>1127</v>
      </c>
      <c r="J18" s="16"/>
    </row>
    <row r="19" spans="1:10" s="4" customFormat="1" ht="67.2">
      <c r="A19" s="22" t="s">
        <v>1023</v>
      </c>
      <c r="B19" s="22" t="s">
        <v>1024</v>
      </c>
      <c r="C19" s="22" t="s">
        <v>1025</v>
      </c>
      <c r="D19" s="22" t="s">
        <v>1093</v>
      </c>
      <c r="E19" s="22" t="s">
        <v>1026</v>
      </c>
      <c r="F19" s="22" t="s">
        <v>1026</v>
      </c>
      <c r="G19" s="21" t="s">
        <v>24</v>
      </c>
      <c r="H19" s="17">
        <v>46122</v>
      </c>
      <c r="I19" s="17" t="s">
        <v>1127</v>
      </c>
      <c r="J19" s="16"/>
    </row>
    <row r="20" spans="1:10" s="4" customFormat="1">
      <c r="A20" s="106" t="s">
        <v>1098</v>
      </c>
      <c r="B20" s="106"/>
      <c r="C20" s="106"/>
      <c r="D20" s="106"/>
      <c r="E20" s="106"/>
      <c r="F20" s="106"/>
      <c r="G20" s="105"/>
      <c r="H20" s="105"/>
      <c r="I20" s="105"/>
      <c r="J20" s="105"/>
    </row>
    <row r="21" spans="1:10" s="4" customFormat="1" ht="33.6">
      <c r="A21" s="22" t="s">
        <v>1027</v>
      </c>
      <c r="B21" s="22" t="s">
        <v>1028</v>
      </c>
      <c r="C21" s="22" t="s">
        <v>1029</v>
      </c>
      <c r="D21" s="22"/>
      <c r="E21" s="22" t="s">
        <v>1030</v>
      </c>
      <c r="F21" s="22" t="s">
        <v>1030</v>
      </c>
      <c r="G21" s="21" t="s">
        <v>24</v>
      </c>
      <c r="H21" s="17">
        <v>46130</v>
      </c>
      <c r="I21" s="17" t="s">
        <v>1127</v>
      </c>
      <c r="J21" s="16"/>
    </row>
    <row r="22" spans="1:10" s="4" customFormat="1" ht="50.4">
      <c r="A22" s="22" t="s">
        <v>1031</v>
      </c>
      <c r="B22" s="22" t="s">
        <v>1032</v>
      </c>
      <c r="C22" s="22" t="s">
        <v>1033</v>
      </c>
      <c r="D22" s="22"/>
      <c r="E22" s="22" t="s">
        <v>1034</v>
      </c>
      <c r="F22" s="22" t="s">
        <v>1034</v>
      </c>
      <c r="G22" s="21" t="s">
        <v>24</v>
      </c>
      <c r="H22" s="17">
        <v>46130</v>
      </c>
      <c r="I22" s="17" t="s">
        <v>1127</v>
      </c>
      <c r="J22" s="16"/>
    </row>
    <row r="23" spans="1:10" s="4" customFormat="1" ht="33.6">
      <c r="A23" s="22" t="s">
        <v>1035</v>
      </c>
      <c r="B23" s="22" t="s">
        <v>1036</v>
      </c>
      <c r="C23" s="22" t="s">
        <v>1037</v>
      </c>
      <c r="D23" s="22"/>
      <c r="E23" s="22" t="s">
        <v>1080</v>
      </c>
      <c r="F23" s="22" t="s">
        <v>1080</v>
      </c>
      <c r="G23" s="21" t="s">
        <v>24</v>
      </c>
      <c r="H23" s="17">
        <v>46130</v>
      </c>
      <c r="I23" s="17" t="s">
        <v>1127</v>
      </c>
      <c r="J23" s="16"/>
    </row>
    <row r="24" spans="1:10" s="4" customFormat="1" ht="50.4">
      <c r="A24" s="22" t="s">
        <v>1038</v>
      </c>
      <c r="B24" s="22" t="s">
        <v>1039</v>
      </c>
      <c r="C24" s="22" t="s">
        <v>1040</v>
      </c>
      <c r="D24" s="22"/>
      <c r="E24" s="22" t="s">
        <v>1075</v>
      </c>
      <c r="F24" s="22" t="s">
        <v>1075</v>
      </c>
      <c r="G24" s="21" t="s">
        <v>24</v>
      </c>
      <c r="H24" s="17">
        <v>46130</v>
      </c>
      <c r="I24" s="17" t="s">
        <v>1127</v>
      </c>
      <c r="J24" s="16"/>
    </row>
    <row r="25" spans="1:10" s="4" customFormat="1" ht="67.2">
      <c r="A25" s="22" t="s">
        <v>1041</v>
      </c>
      <c r="B25" s="22" t="s">
        <v>1042</v>
      </c>
      <c r="C25" s="22" t="s">
        <v>1076</v>
      </c>
      <c r="D25" s="22"/>
      <c r="E25" s="22" t="s">
        <v>1070</v>
      </c>
      <c r="F25" s="22" t="s">
        <v>1070</v>
      </c>
      <c r="G25" s="21" t="s">
        <v>24</v>
      </c>
      <c r="H25" s="17">
        <v>46130</v>
      </c>
      <c r="I25" s="17" t="s">
        <v>1127</v>
      </c>
      <c r="J25" s="16"/>
    </row>
    <row r="26" spans="1:10" s="4" customFormat="1" ht="50.4">
      <c r="A26" s="22" t="s">
        <v>1043</v>
      </c>
      <c r="B26" s="22" t="s">
        <v>1044</v>
      </c>
      <c r="C26" s="22" t="s">
        <v>1077</v>
      </c>
      <c r="D26" s="22"/>
      <c r="E26" s="22" t="s">
        <v>1045</v>
      </c>
      <c r="F26" s="22" t="s">
        <v>1045</v>
      </c>
      <c r="G26" s="21" t="s">
        <v>24</v>
      </c>
      <c r="H26" s="17">
        <v>46130</v>
      </c>
      <c r="I26" s="17" t="s">
        <v>1127</v>
      </c>
      <c r="J26" s="16"/>
    </row>
    <row r="27" spans="1:10" s="4" customFormat="1" ht="33.6">
      <c r="A27" s="22" t="s">
        <v>1046</v>
      </c>
      <c r="B27" s="22" t="s">
        <v>1047</v>
      </c>
      <c r="C27" s="22" t="s">
        <v>1048</v>
      </c>
      <c r="D27" s="22" t="s">
        <v>1049</v>
      </c>
      <c r="E27" s="22" t="s">
        <v>1050</v>
      </c>
      <c r="F27" s="22" t="s">
        <v>1050</v>
      </c>
      <c r="G27" s="21" t="s">
        <v>24</v>
      </c>
      <c r="H27" s="17">
        <v>46130</v>
      </c>
      <c r="I27" s="17" t="s">
        <v>1127</v>
      </c>
      <c r="J27" s="16"/>
    </row>
    <row r="28" spans="1:10" s="4" customFormat="1" ht="67.2">
      <c r="A28" s="22" t="s">
        <v>1051</v>
      </c>
      <c r="B28" s="22" t="s">
        <v>1052</v>
      </c>
      <c r="C28" s="22" t="s">
        <v>1078</v>
      </c>
      <c r="D28" s="22" t="s">
        <v>1094</v>
      </c>
      <c r="E28" s="22" t="s">
        <v>1053</v>
      </c>
      <c r="F28" s="22" t="s">
        <v>1053</v>
      </c>
      <c r="G28" s="21" t="s">
        <v>24</v>
      </c>
      <c r="H28" s="17">
        <v>46130</v>
      </c>
      <c r="I28" s="17" t="s">
        <v>1127</v>
      </c>
      <c r="J28" s="16"/>
    </row>
    <row r="29" spans="1:10" s="4" customFormat="1" ht="50.4">
      <c r="A29" s="22" t="s">
        <v>1054</v>
      </c>
      <c r="B29" s="22" t="s">
        <v>1055</v>
      </c>
      <c r="C29" s="22" t="s">
        <v>1056</v>
      </c>
      <c r="D29" s="22" t="s">
        <v>1057</v>
      </c>
      <c r="E29" s="22" t="s">
        <v>1058</v>
      </c>
      <c r="F29" s="22" t="s">
        <v>1058</v>
      </c>
      <c r="G29" s="21" t="s">
        <v>24</v>
      </c>
      <c r="H29" s="17">
        <v>46130</v>
      </c>
      <c r="I29" s="17" t="s">
        <v>1127</v>
      </c>
      <c r="J29" s="16"/>
    </row>
    <row r="30" spans="1:10" ht="33.6">
      <c r="A30" s="22" t="s">
        <v>1059</v>
      </c>
      <c r="B30" s="22" t="s">
        <v>1060</v>
      </c>
      <c r="C30" s="22" t="s">
        <v>1095</v>
      </c>
      <c r="D30" s="22"/>
      <c r="E30" s="22" t="s">
        <v>1061</v>
      </c>
      <c r="F30" s="22" t="s">
        <v>1061</v>
      </c>
      <c r="G30" s="21" t="s">
        <v>24</v>
      </c>
      <c r="H30" s="17">
        <v>46130</v>
      </c>
      <c r="I30" s="17" t="s">
        <v>1127</v>
      </c>
      <c r="J30" s="16"/>
    </row>
    <row r="31" spans="1:10" ht="34.799999999999997" customHeight="1">
      <c r="A31" s="22" t="s">
        <v>1081</v>
      </c>
      <c r="B31" s="22" t="s">
        <v>1062</v>
      </c>
      <c r="C31" s="22" t="s">
        <v>1071</v>
      </c>
      <c r="D31" s="22"/>
      <c r="E31" s="22" t="s">
        <v>324</v>
      </c>
      <c r="F31" s="22" t="s">
        <v>324</v>
      </c>
      <c r="G31" s="21" t="s">
        <v>24</v>
      </c>
      <c r="H31" s="17">
        <v>46130</v>
      </c>
      <c r="I31" s="17" t="s">
        <v>1127</v>
      </c>
      <c r="J31" s="16"/>
    </row>
    <row r="32" spans="1:10" ht="67.2">
      <c r="A32" s="22" t="s">
        <v>1082</v>
      </c>
      <c r="B32" s="22" t="s">
        <v>1063</v>
      </c>
      <c r="C32" s="22" t="s">
        <v>1072</v>
      </c>
      <c r="D32" s="22" t="s">
        <v>518</v>
      </c>
      <c r="E32" s="22" t="s">
        <v>1089</v>
      </c>
      <c r="F32" s="22" t="s">
        <v>1089</v>
      </c>
      <c r="G32" s="21" t="s">
        <v>24</v>
      </c>
      <c r="H32" s="17">
        <v>46130</v>
      </c>
      <c r="I32" s="17" t="s">
        <v>1127</v>
      </c>
      <c r="J32" s="16"/>
    </row>
    <row r="33" spans="1:10" ht="33.6">
      <c r="A33" s="22" t="s">
        <v>1083</v>
      </c>
      <c r="B33" s="22" t="s">
        <v>1064</v>
      </c>
      <c r="C33" s="22" t="s">
        <v>1073</v>
      </c>
      <c r="D33" s="22" t="s">
        <v>1065</v>
      </c>
      <c r="E33" s="22" t="s">
        <v>1090</v>
      </c>
      <c r="F33" s="22" t="s">
        <v>1090</v>
      </c>
      <c r="G33" s="21" t="s">
        <v>24</v>
      </c>
      <c r="H33" s="17">
        <v>46130</v>
      </c>
      <c r="I33" s="17" t="s">
        <v>1127</v>
      </c>
      <c r="J33" s="16"/>
    </row>
    <row r="34" spans="1:10" ht="33.6">
      <c r="A34" s="22" t="s">
        <v>1084</v>
      </c>
      <c r="B34" s="22" t="s">
        <v>1066</v>
      </c>
      <c r="C34" s="22" t="s">
        <v>1074</v>
      </c>
      <c r="D34" s="22" t="s">
        <v>1067</v>
      </c>
      <c r="E34" s="22" t="s">
        <v>1091</v>
      </c>
      <c r="F34" s="22" t="s">
        <v>1091</v>
      </c>
      <c r="G34" s="21" t="s">
        <v>24</v>
      </c>
      <c r="H34" s="17">
        <v>46130</v>
      </c>
      <c r="I34" s="17" t="s">
        <v>1127</v>
      </c>
      <c r="J34" s="16"/>
    </row>
    <row r="35" spans="1:10" ht="33.6">
      <c r="A35" s="22" t="s">
        <v>1085</v>
      </c>
      <c r="B35" s="22" t="s">
        <v>1068</v>
      </c>
      <c r="C35" s="22" t="s">
        <v>1069</v>
      </c>
      <c r="D35" s="22"/>
      <c r="E35" s="22" t="s">
        <v>1092</v>
      </c>
      <c r="F35" s="22" t="s">
        <v>1092</v>
      </c>
      <c r="G35" s="21" t="s">
        <v>24</v>
      </c>
      <c r="H35" s="17">
        <v>46130</v>
      </c>
      <c r="I35" s="17" t="s">
        <v>1127</v>
      </c>
      <c r="J35" s="16"/>
    </row>
  </sheetData>
  <mergeCells count="13">
    <mergeCell ref="A20:J20"/>
    <mergeCell ref="G8:I8"/>
    <mergeCell ref="J8:J10"/>
    <mergeCell ref="G9:I9"/>
    <mergeCell ref="A11:J11"/>
    <mergeCell ref="B1:F1"/>
    <mergeCell ref="B2:F2"/>
    <mergeCell ref="A8:A10"/>
    <mergeCell ref="B8:B10"/>
    <mergeCell ref="C8:C10"/>
    <mergeCell ref="D8:D10"/>
    <mergeCell ref="E8:E10"/>
    <mergeCell ref="F8:F10"/>
  </mergeCells>
  <phoneticPr fontId="9" type="noConversion"/>
  <conditionalFormatting sqref="G12:G19">
    <cfRule type="containsText" dxfId="31" priority="5" operator="containsText" text="Hoàn thành">
      <formula>NOT(ISERROR(SEARCH("Hoàn thành",G12)))</formula>
    </cfRule>
    <cfRule type="containsText" dxfId="30" priority="6" operator="containsText" text="Lỗi">
      <formula>NOT(ISERROR(SEARCH("Lỗi",G12)))</formula>
    </cfRule>
    <cfRule type="containsText" dxfId="29" priority="7" operator="containsText" text="Hoàn thành">
      <formula>NOT(ISERROR(SEARCH("Hoàn thành",G12)))</formula>
    </cfRule>
    <cfRule type="containsText" dxfId="28" priority="8" operator="containsText" text="Hoàn thành">
      <formula>NOT(ISERROR(SEARCH("Hoàn thành",G12)))</formula>
    </cfRule>
  </conditionalFormatting>
  <conditionalFormatting sqref="G21:G35">
    <cfRule type="containsText" dxfId="27" priority="1" operator="containsText" text="Hoàn thành">
      <formula>NOT(ISERROR(SEARCH("Hoàn thành",G21)))</formula>
    </cfRule>
    <cfRule type="containsText" dxfId="26" priority="2" operator="containsText" text="Lỗi">
      <formula>NOT(ISERROR(SEARCH("Lỗi",G21)))</formula>
    </cfRule>
    <cfRule type="containsText" dxfId="25" priority="3" operator="containsText" text="Hoàn thành">
      <formula>NOT(ISERROR(SEARCH("Hoàn thành",G21)))</formula>
    </cfRule>
    <cfRule type="containsText" dxfId="24" priority="4" operator="containsText" text="Hoàn thành">
      <formula>NOT(ISERROR(SEARCH("Hoàn thành",G21)))</formula>
    </cfRule>
  </conditionalFormatting>
  <dataValidations count="1">
    <dataValidation type="list" allowBlank="1" showInputMessage="1" showErrorMessage="1" sqref="G12:G19 G21:G35" xr:uid="{27A71EE1-1406-4D91-8250-7E3BF8D2C2DC}">
      <formula1>"Pass, Fail, Chưa kiểm tra, Bị chặn"</formula1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5E81B4-9233-4A2D-9381-93184F02F023}">
  <sheetPr>
    <tabColor theme="7"/>
  </sheetPr>
  <dimension ref="A1:J42"/>
  <sheetViews>
    <sheetView topLeftCell="A13" zoomScale="62" workbookViewId="0">
      <selection activeCell="H21" sqref="H21:I42"/>
    </sheetView>
  </sheetViews>
  <sheetFormatPr defaultColWidth="9.109375" defaultRowHeight="16.8"/>
  <cols>
    <col min="1" max="1" width="21.33203125" style="15" bestFit="1" customWidth="1"/>
    <col min="2" max="2" width="47.33203125" style="15" customWidth="1"/>
    <col min="3" max="3" width="34.33203125" style="15" bestFit="1" customWidth="1"/>
    <col min="4" max="4" width="29" style="15" bestFit="1" customWidth="1"/>
    <col min="5" max="5" width="40" style="15" bestFit="1" customWidth="1"/>
    <col min="6" max="6" width="46" style="15" bestFit="1" customWidth="1"/>
    <col min="7" max="7" width="16" style="15" bestFit="1" customWidth="1"/>
    <col min="8" max="8" width="21.5546875" style="15" bestFit="1" customWidth="1"/>
    <col min="9" max="9" width="22.6640625" style="15" bestFit="1" customWidth="1"/>
    <col min="10" max="10" width="16" style="15" bestFit="1" customWidth="1"/>
    <col min="11" max="16384" width="9.109375" style="15"/>
  </cols>
  <sheetData>
    <row r="1" spans="1:10" s="4" customFormat="1">
      <c r="A1" s="1" t="s">
        <v>4</v>
      </c>
      <c r="B1" s="102" t="s">
        <v>1</v>
      </c>
      <c r="C1" s="102"/>
      <c r="D1" s="102"/>
      <c r="E1" s="102"/>
      <c r="F1" s="102"/>
      <c r="G1" s="2"/>
      <c r="H1" s="3"/>
    </row>
    <row r="2" spans="1:10" s="4" customFormat="1">
      <c r="A2" s="1" t="s">
        <v>5</v>
      </c>
      <c r="B2" s="103" t="s">
        <v>485</v>
      </c>
      <c r="C2" s="103"/>
      <c r="D2" s="103"/>
      <c r="E2" s="103"/>
      <c r="F2" s="103"/>
      <c r="G2" s="2"/>
      <c r="H2" s="3"/>
    </row>
    <row r="3" spans="1:10" s="4" customFormat="1">
      <c r="A3" s="5"/>
      <c r="B3" s="6" t="s">
        <v>6</v>
      </c>
      <c r="C3" s="6" t="s">
        <v>7</v>
      </c>
      <c r="D3" s="6" t="s">
        <v>8</v>
      </c>
      <c r="E3" s="6" t="s">
        <v>9</v>
      </c>
      <c r="F3" s="6" t="s">
        <v>10</v>
      </c>
      <c r="G3" s="2"/>
      <c r="H3" s="3"/>
    </row>
    <row r="4" spans="1:10" s="4" customFormat="1">
      <c r="A4" s="7" t="s">
        <v>11</v>
      </c>
      <c r="B4" s="8">
        <v>30</v>
      </c>
      <c r="C4" s="8">
        <v>0</v>
      </c>
      <c r="D4" s="5">
        <v>0</v>
      </c>
      <c r="E4" s="9">
        <v>0</v>
      </c>
      <c r="F4" s="5">
        <f>SUM(B4:E4)</f>
        <v>30</v>
      </c>
      <c r="G4" s="2"/>
      <c r="H4" s="3"/>
    </row>
    <row r="5" spans="1:10" s="4" customFormat="1">
      <c r="A5" s="7" t="s">
        <v>12</v>
      </c>
      <c r="B5" s="8">
        <v>30</v>
      </c>
      <c r="C5" s="8">
        <v>0</v>
      </c>
      <c r="D5" s="5">
        <v>0</v>
      </c>
      <c r="E5" s="9">
        <v>0</v>
      </c>
      <c r="F5" s="5">
        <f>SUM(B5:E5)</f>
        <v>30</v>
      </c>
      <c r="G5" s="2"/>
      <c r="H5" s="3"/>
    </row>
    <row r="6" spans="1:10" s="4" customFormat="1">
      <c r="A6" s="10"/>
      <c r="B6" s="11"/>
      <c r="E6" s="12"/>
      <c r="G6" s="2"/>
      <c r="H6" s="3"/>
    </row>
    <row r="7" spans="1:10" s="4" customFormat="1">
      <c r="A7" s="10"/>
      <c r="B7" s="11"/>
      <c r="E7" s="12"/>
      <c r="G7" s="2"/>
      <c r="H7" s="3"/>
    </row>
    <row r="8" spans="1:10" s="4" customFormat="1">
      <c r="A8" s="104" t="s">
        <v>13</v>
      </c>
      <c r="B8" s="104" t="s">
        <v>3</v>
      </c>
      <c r="C8" s="104" t="s">
        <v>14</v>
      </c>
      <c r="D8" s="104" t="s">
        <v>15</v>
      </c>
      <c r="E8" s="104" t="s">
        <v>16</v>
      </c>
      <c r="F8" s="104" t="s">
        <v>17</v>
      </c>
      <c r="G8" s="104" t="s">
        <v>18</v>
      </c>
      <c r="H8" s="104"/>
      <c r="I8" s="104"/>
      <c r="J8" s="104" t="s">
        <v>19</v>
      </c>
    </row>
    <row r="9" spans="1:10" s="4" customFormat="1">
      <c r="A9" s="104"/>
      <c r="B9" s="104"/>
      <c r="C9" s="104"/>
      <c r="D9" s="104"/>
      <c r="E9" s="104"/>
      <c r="F9" s="104"/>
      <c r="G9" s="104" t="s">
        <v>20</v>
      </c>
      <c r="H9" s="104"/>
      <c r="I9" s="104"/>
      <c r="J9" s="104"/>
    </row>
    <row r="10" spans="1:10" s="4" customFormat="1">
      <c r="A10" s="104"/>
      <c r="B10" s="104"/>
      <c r="C10" s="104"/>
      <c r="D10" s="104"/>
      <c r="E10" s="104"/>
      <c r="F10" s="104"/>
      <c r="G10" s="13" t="s">
        <v>21</v>
      </c>
      <c r="H10" s="14" t="s">
        <v>22</v>
      </c>
      <c r="I10" s="6" t="s">
        <v>23</v>
      </c>
      <c r="J10" s="104"/>
    </row>
    <row r="11" spans="1:10" s="4" customFormat="1">
      <c r="A11" s="105" t="s">
        <v>484</v>
      </c>
      <c r="B11" s="105"/>
      <c r="C11" s="105"/>
      <c r="D11" s="105"/>
      <c r="E11" s="105"/>
      <c r="F11" s="105"/>
      <c r="G11" s="105"/>
      <c r="H11" s="110"/>
      <c r="I11" s="110"/>
      <c r="J11" s="110"/>
    </row>
    <row r="12" spans="1:10" s="4" customFormat="1" ht="50.4">
      <c r="A12" s="22" t="s">
        <v>486</v>
      </c>
      <c r="B12" s="22" t="s">
        <v>359</v>
      </c>
      <c r="C12" s="22" t="s">
        <v>464</v>
      </c>
      <c r="D12" s="22" t="s">
        <v>360</v>
      </c>
      <c r="E12" s="22" t="s">
        <v>465</v>
      </c>
      <c r="F12" s="22" t="s">
        <v>465</v>
      </c>
      <c r="G12" s="21" t="s">
        <v>24</v>
      </c>
      <c r="H12" s="19">
        <v>46123</v>
      </c>
      <c r="I12" s="19" t="s">
        <v>1126</v>
      </c>
      <c r="J12" s="20"/>
    </row>
    <row r="13" spans="1:10" s="4" customFormat="1" ht="84">
      <c r="A13" s="22" t="s">
        <v>361</v>
      </c>
      <c r="B13" s="22" t="s">
        <v>362</v>
      </c>
      <c r="C13" s="22" t="s">
        <v>363</v>
      </c>
      <c r="D13" s="22" t="s">
        <v>460</v>
      </c>
      <c r="E13" s="22" t="s">
        <v>467</v>
      </c>
      <c r="F13" s="22" t="s">
        <v>467</v>
      </c>
      <c r="G13" s="21" t="s">
        <v>24</v>
      </c>
      <c r="H13" s="19">
        <v>46123</v>
      </c>
      <c r="I13" s="19" t="s">
        <v>1126</v>
      </c>
      <c r="J13" s="20"/>
    </row>
    <row r="14" spans="1:10" s="4" customFormat="1" ht="33.6">
      <c r="A14" s="22" t="s">
        <v>364</v>
      </c>
      <c r="B14" s="22" t="s">
        <v>365</v>
      </c>
      <c r="C14" s="22" t="s">
        <v>366</v>
      </c>
      <c r="D14" s="22"/>
      <c r="E14" s="22" t="s">
        <v>466</v>
      </c>
      <c r="F14" s="22" t="s">
        <v>466</v>
      </c>
      <c r="G14" s="21" t="s">
        <v>24</v>
      </c>
      <c r="H14" s="19">
        <v>46123</v>
      </c>
      <c r="I14" s="19" t="s">
        <v>1126</v>
      </c>
      <c r="J14" s="20"/>
    </row>
    <row r="15" spans="1:10" s="4" customFormat="1" ht="50.4">
      <c r="A15" s="22" t="s">
        <v>367</v>
      </c>
      <c r="B15" s="22" t="s">
        <v>368</v>
      </c>
      <c r="C15" s="22" t="s">
        <v>463</v>
      </c>
      <c r="D15" s="22"/>
      <c r="E15" s="22" t="s">
        <v>438</v>
      </c>
      <c r="F15" s="22" t="s">
        <v>438</v>
      </c>
      <c r="G15" s="21" t="s">
        <v>24</v>
      </c>
      <c r="H15" s="19">
        <v>46123</v>
      </c>
      <c r="I15" s="19" t="s">
        <v>1126</v>
      </c>
      <c r="J15" s="20"/>
    </row>
    <row r="16" spans="1:10" s="4" customFormat="1" ht="50.4">
      <c r="A16" s="22" t="s">
        <v>369</v>
      </c>
      <c r="B16" s="22" t="s">
        <v>370</v>
      </c>
      <c r="C16" s="22" t="s">
        <v>371</v>
      </c>
      <c r="D16" s="22" t="s">
        <v>372</v>
      </c>
      <c r="E16" s="22" t="s">
        <v>440</v>
      </c>
      <c r="F16" s="22" t="s">
        <v>440</v>
      </c>
      <c r="G16" s="21" t="s">
        <v>24</v>
      </c>
      <c r="H16" s="19">
        <v>46123</v>
      </c>
      <c r="I16" s="19" t="s">
        <v>1126</v>
      </c>
      <c r="J16" s="20"/>
    </row>
    <row r="17" spans="1:10" s="4" customFormat="1" ht="50.4">
      <c r="A17" s="22" t="s">
        <v>373</v>
      </c>
      <c r="B17" s="22" t="s">
        <v>374</v>
      </c>
      <c r="C17" s="22" t="s">
        <v>375</v>
      </c>
      <c r="D17" s="22"/>
      <c r="E17" s="22" t="s">
        <v>441</v>
      </c>
      <c r="F17" s="22" t="s">
        <v>441</v>
      </c>
      <c r="G17" s="21" t="s">
        <v>24</v>
      </c>
      <c r="H17" s="19">
        <v>46123</v>
      </c>
      <c r="I17" s="19" t="s">
        <v>1126</v>
      </c>
      <c r="J17" s="20"/>
    </row>
    <row r="18" spans="1:10" s="4" customFormat="1" ht="67.2">
      <c r="A18" s="22" t="s">
        <v>376</v>
      </c>
      <c r="B18" s="22" t="s">
        <v>377</v>
      </c>
      <c r="C18" s="22" t="s">
        <v>378</v>
      </c>
      <c r="D18" s="22" t="s">
        <v>461</v>
      </c>
      <c r="E18" s="22" t="s">
        <v>462</v>
      </c>
      <c r="F18" s="22" t="s">
        <v>462</v>
      </c>
      <c r="G18" s="21" t="s">
        <v>24</v>
      </c>
      <c r="H18" s="19">
        <v>46123</v>
      </c>
      <c r="I18" s="19" t="s">
        <v>1126</v>
      </c>
      <c r="J18" s="20"/>
    </row>
    <row r="19" spans="1:10" s="4" customFormat="1" ht="50.4">
      <c r="A19" s="22" t="s">
        <v>379</v>
      </c>
      <c r="B19" s="22" t="s">
        <v>380</v>
      </c>
      <c r="C19" s="22" t="s">
        <v>381</v>
      </c>
      <c r="D19" s="22"/>
      <c r="E19" s="22" t="s">
        <v>439</v>
      </c>
      <c r="F19" s="22" t="s">
        <v>439</v>
      </c>
      <c r="G19" s="21" t="s">
        <v>24</v>
      </c>
      <c r="H19" s="19">
        <v>46123</v>
      </c>
      <c r="I19" s="19" t="s">
        <v>1126</v>
      </c>
      <c r="J19" s="20"/>
    </row>
    <row r="20" spans="1:10" s="4" customFormat="1">
      <c r="A20" s="107" t="s">
        <v>483</v>
      </c>
      <c r="B20" s="107"/>
      <c r="C20" s="107"/>
      <c r="D20" s="107"/>
      <c r="E20" s="107"/>
      <c r="F20" s="107"/>
      <c r="G20" s="108"/>
      <c r="H20" s="109"/>
      <c r="I20" s="109"/>
      <c r="J20" s="109"/>
    </row>
    <row r="21" spans="1:10" s="4" customFormat="1" ht="33.6">
      <c r="A21" s="22" t="s">
        <v>382</v>
      </c>
      <c r="B21" s="22" t="s">
        <v>383</v>
      </c>
      <c r="C21" s="22" t="s">
        <v>468</v>
      </c>
      <c r="D21" s="22" t="s">
        <v>384</v>
      </c>
      <c r="E21" s="22" t="s">
        <v>385</v>
      </c>
      <c r="F21" s="22" t="s">
        <v>385</v>
      </c>
      <c r="G21" s="21" t="s">
        <v>24</v>
      </c>
      <c r="H21" s="19">
        <v>46130</v>
      </c>
      <c r="I21" s="19" t="s">
        <v>1126</v>
      </c>
      <c r="J21" s="20"/>
    </row>
    <row r="22" spans="1:10" s="4" customFormat="1" ht="50.4">
      <c r="A22" s="22" t="s">
        <v>386</v>
      </c>
      <c r="B22" s="22" t="s">
        <v>387</v>
      </c>
      <c r="C22" s="22" t="s">
        <v>448</v>
      </c>
      <c r="D22" s="22" t="s">
        <v>388</v>
      </c>
      <c r="E22" s="22" t="s">
        <v>389</v>
      </c>
      <c r="F22" s="22" t="s">
        <v>389</v>
      </c>
      <c r="G22" s="21" t="s">
        <v>24</v>
      </c>
      <c r="H22" s="19">
        <v>46130</v>
      </c>
      <c r="I22" s="19" t="s">
        <v>1126</v>
      </c>
      <c r="J22" s="20"/>
    </row>
    <row r="23" spans="1:10" s="4" customFormat="1" ht="33.6">
      <c r="A23" s="22" t="s">
        <v>390</v>
      </c>
      <c r="B23" s="22" t="s">
        <v>391</v>
      </c>
      <c r="C23" s="22" t="s">
        <v>442</v>
      </c>
      <c r="D23" s="22"/>
      <c r="E23" s="22" t="s">
        <v>449</v>
      </c>
      <c r="F23" s="22" t="s">
        <v>449</v>
      </c>
      <c r="G23" s="21" t="s">
        <v>24</v>
      </c>
      <c r="H23" s="19">
        <v>46130</v>
      </c>
      <c r="I23" s="19" t="s">
        <v>1126</v>
      </c>
      <c r="J23" s="20"/>
    </row>
    <row r="24" spans="1:10" s="4" customFormat="1" ht="50.4">
      <c r="A24" s="22" t="s">
        <v>392</v>
      </c>
      <c r="B24" s="22" t="s">
        <v>393</v>
      </c>
      <c r="C24" s="22" t="s">
        <v>394</v>
      </c>
      <c r="D24" s="22"/>
      <c r="E24" s="22" t="s">
        <v>395</v>
      </c>
      <c r="F24" s="22" t="s">
        <v>395</v>
      </c>
      <c r="G24" s="21" t="s">
        <v>24</v>
      </c>
      <c r="H24" s="19">
        <v>46130</v>
      </c>
      <c r="I24" s="19" t="s">
        <v>1126</v>
      </c>
      <c r="J24" s="20"/>
    </row>
    <row r="25" spans="1:10" s="4" customFormat="1" ht="50.4">
      <c r="A25" s="22" t="s">
        <v>396</v>
      </c>
      <c r="B25" s="22" t="s">
        <v>397</v>
      </c>
      <c r="C25" s="22" t="s">
        <v>458</v>
      </c>
      <c r="D25" s="22"/>
      <c r="E25" s="22" t="s">
        <v>443</v>
      </c>
      <c r="F25" s="22" t="s">
        <v>443</v>
      </c>
      <c r="G25" s="21" t="s">
        <v>24</v>
      </c>
      <c r="H25" s="19">
        <v>46130</v>
      </c>
      <c r="I25" s="19" t="s">
        <v>1126</v>
      </c>
      <c r="J25" s="20"/>
    </row>
    <row r="26" spans="1:10" s="4" customFormat="1" ht="84" customHeight="1">
      <c r="A26" s="22" t="s">
        <v>398</v>
      </c>
      <c r="B26" s="22" t="s">
        <v>399</v>
      </c>
      <c r="C26" s="22" t="s">
        <v>459</v>
      </c>
      <c r="D26" s="22"/>
      <c r="E26" s="22" t="s">
        <v>400</v>
      </c>
      <c r="F26" s="22" t="s">
        <v>400</v>
      </c>
      <c r="G26" s="21" t="s">
        <v>24</v>
      </c>
      <c r="H26" s="19">
        <v>46130</v>
      </c>
      <c r="I26" s="19" t="s">
        <v>1126</v>
      </c>
      <c r="J26" s="20"/>
    </row>
    <row r="27" spans="1:10" s="4" customFormat="1" ht="33.6">
      <c r="A27" s="22" t="s">
        <v>401</v>
      </c>
      <c r="B27" s="22" t="s">
        <v>402</v>
      </c>
      <c r="C27" s="22" t="s">
        <v>403</v>
      </c>
      <c r="D27" s="22" t="s">
        <v>404</v>
      </c>
      <c r="E27" s="22" t="s">
        <v>444</v>
      </c>
      <c r="F27" s="22" t="s">
        <v>444</v>
      </c>
      <c r="G27" s="21" t="s">
        <v>24</v>
      </c>
      <c r="H27" s="19">
        <v>46130</v>
      </c>
      <c r="I27" s="19" t="s">
        <v>1126</v>
      </c>
      <c r="J27" s="20"/>
    </row>
    <row r="28" spans="1:10" s="4" customFormat="1" ht="50.4">
      <c r="A28" s="22" t="s">
        <v>405</v>
      </c>
      <c r="B28" s="22" t="s">
        <v>406</v>
      </c>
      <c r="C28" s="22" t="s">
        <v>407</v>
      </c>
      <c r="D28" s="22" t="s">
        <v>408</v>
      </c>
      <c r="E28" s="22" t="s">
        <v>409</v>
      </c>
      <c r="F28" s="22" t="s">
        <v>409</v>
      </c>
      <c r="G28" s="21" t="s">
        <v>24</v>
      </c>
      <c r="H28" s="19">
        <v>46130</v>
      </c>
      <c r="I28" s="19" t="s">
        <v>1126</v>
      </c>
      <c r="J28" s="20"/>
    </row>
    <row r="29" spans="1:10" s="4" customFormat="1" ht="33.6">
      <c r="A29" s="22" t="s">
        <v>469</v>
      </c>
      <c r="B29" s="22" t="s">
        <v>296</v>
      </c>
      <c r="C29" s="22" t="s">
        <v>297</v>
      </c>
      <c r="D29" s="22" t="s">
        <v>298</v>
      </c>
      <c r="E29" s="22" t="s">
        <v>331</v>
      </c>
      <c r="F29" s="22" t="s">
        <v>331</v>
      </c>
      <c r="G29" s="21" t="s">
        <v>24</v>
      </c>
      <c r="H29" s="19">
        <v>46130</v>
      </c>
      <c r="I29" s="19" t="s">
        <v>1126</v>
      </c>
      <c r="J29" s="20"/>
    </row>
    <row r="30" spans="1:10" ht="33.6">
      <c r="A30" s="27" t="s">
        <v>470</v>
      </c>
      <c r="B30" s="27" t="s">
        <v>299</v>
      </c>
      <c r="C30" s="27" t="s">
        <v>300</v>
      </c>
      <c r="D30" s="27"/>
      <c r="E30" s="27" t="s">
        <v>324</v>
      </c>
      <c r="F30" s="27" t="s">
        <v>324</v>
      </c>
      <c r="G30" s="21" t="s">
        <v>24</v>
      </c>
      <c r="H30" s="19">
        <v>46130</v>
      </c>
      <c r="I30" s="19" t="s">
        <v>1126</v>
      </c>
      <c r="J30" s="20"/>
    </row>
    <row r="31" spans="1:10" ht="50.4">
      <c r="A31" s="27" t="s">
        <v>471</v>
      </c>
      <c r="B31" s="22" t="s">
        <v>410</v>
      </c>
      <c r="C31" s="22" t="s">
        <v>312</v>
      </c>
      <c r="D31" s="22" t="s">
        <v>411</v>
      </c>
      <c r="E31" s="22" t="s">
        <v>450</v>
      </c>
      <c r="F31" s="22" t="s">
        <v>450</v>
      </c>
      <c r="G31" s="21" t="s">
        <v>24</v>
      </c>
      <c r="H31" s="19">
        <v>46130</v>
      </c>
      <c r="I31" s="19" t="s">
        <v>1126</v>
      </c>
      <c r="J31" s="20"/>
    </row>
    <row r="32" spans="1:10" ht="33.6">
      <c r="A32" s="27" t="s">
        <v>472</v>
      </c>
      <c r="B32" s="22" t="s">
        <v>412</v>
      </c>
      <c r="C32" s="22" t="s">
        <v>413</v>
      </c>
      <c r="D32" s="22" t="s">
        <v>445</v>
      </c>
      <c r="E32" s="22" t="s">
        <v>427</v>
      </c>
      <c r="F32" s="22" t="s">
        <v>427</v>
      </c>
      <c r="G32" s="21" t="s">
        <v>24</v>
      </c>
      <c r="H32" s="19">
        <v>46130</v>
      </c>
      <c r="I32" s="19" t="s">
        <v>1126</v>
      </c>
      <c r="J32" s="20"/>
    </row>
    <row r="33" spans="1:10" ht="33.6">
      <c r="A33" s="27" t="s">
        <v>473</v>
      </c>
      <c r="B33" s="22" t="s">
        <v>414</v>
      </c>
      <c r="C33" s="22" t="s">
        <v>413</v>
      </c>
      <c r="D33" s="22" t="s">
        <v>446</v>
      </c>
      <c r="E33" s="22" t="s">
        <v>428</v>
      </c>
      <c r="F33" s="22" t="s">
        <v>428</v>
      </c>
      <c r="G33" s="21" t="s">
        <v>24</v>
      </c>
      <c r="H33" s="19">
        <v>46130</v>
      </c>
      <c r="I33" s="19" t="s">
        <v>1126</v>
      </c>
      <c r="J33" s="20"/>
    </row>
    <row r="34" spans="1:10" ht="33.6">
      <c r="A34" s="27" t="s">
        <v>474</v>
      </c>
      <c r="B34" s="22" t="s">
        <v>415</v>
      </c>
      <c r="C34" s="22" t="s">
        <v>413</v>
      </c>
      <c r="D34" s="22" t="s">
        <v>447</v>
      </c>
      <c r="E34" s="22" t="s">
        <v>429</v>
      </c>
      <c r="F34" s="22" t="s">
        <v>429</v>
      </c>
      <c r="G34" s="21" t="s">
        <v>24</v>
      </c>
      <c r="H34" s="19">
        <v>46130</v>
      </c>
      <c r="I34" s="19" t="s">
        <v>1126</v>
      </c>
      <c r="J34" s="20"/>
    </row>
    <row r="35" spans="1:10" ht="33.6">
      <c r="A35" s="27" t="s">
        <v>475</v>
      </c>
      <c r="B35" s="22" t="s">
        <v>416</v>
      </c>
      <c r="C35" s="22" t="s">
        <v>413</v>
      </c>
      <c r="D35" s="22" t="s">
        <v>417</v>
      </c>
      <c r="E35" s="22" t="s">
        <v>430</v>
      </c>
      <c r="F35" s="22" t="s">
        <v>430</v>
      </c>
      <c r="G35" s="21" t="s">
        <v>24</v>
      </c>
      <c r="H35" s="19">
        <v>46130</v>
      </c>
      <c r="I35" s="19" t="s">
        <v>1126</v>
      </c>
      <c r="J35" s="20"/>
    </row>
    <row r="36" spans="1:10" ht="50.4">
      <c r="A36" s="27" t="s">
        <v>476</v>
      </c>
      <c r="B36" s="22" t="s">
        <v>387</v>
      </c>
      <c r="C36" s="22" t="s">
        <v>431</v>
      </c>
      <c r="D36" s="22" t="s">
        <v>302</v>
      </c>
      <c r="E36" s="22" t="s">
        <v>451</v>
      </c>
      <c r="F36" s="22" t="s">
        <v>451</v>
      </c>
      <c r="G36" s="21" t="s">
        <v>24</v>
      </c>
      <c r="H36" s="19">
        <v>46130</v>
      </c>
      <c r="I36" s="19" t="s">
        <v>1126</v>
      </c>
      <c r="J36" s="20"/>
    </row>
    <row r="37" spans="1:10" ht="33.6">
      <c r="A37" s="27" t="s">
        <v>477</v>
      </c>
      <c r="B37" s="22" t="s">
        <v>418</v>
      </c>
      <c r="C37" s="22" t="s">
        <v>432</v>
      </c>
      <c r="D37" s="22" t="s">
        <v>302</v>
      </c>
      <c r="E37" s="22" t="s">
        <v>452</v>
      </c>
      <c r="F37" s="22" t="s">
        <v>452</v>
      </c>
      <c r="G37" s="21" t="s">
        <v>24</v>
      </c>
      <c r="H37" s="19">
        <v>46130</v>
      </c>
      <c r="I37" s="19" t="s">
        <v>1126</v>
      </c>
      <c r="J37" s="20"/>
    </row>
    <row r="38" spans="1:10" ht="33.6">
      <c r="A38" s="27" t="s">
        <v>478</v>
      </c>
      <c r="B38" s="22" t="s">
        <v>419</v>
      </c>
      <c r="C38" s="22" t="s">
        <v>433</v>
      </c>
      <c r="D38" s="22" t="s">
        <v>302</v>
      </c>
      <c r="E38" s="22" t="s">
        <v>453</v>
      </c>
      <c r="F38" s="22" t="s">
        <v>453</v>
      </c>
      <c r="G38" s="21" t="s">
        <v>24</v>
      </c>
      <c r="H38" s="19">
        <v>46130</v>
      </c>
      <c r="I38" s="19" t="s">
        <v>1126</v>
      </c>
      <c r="J38" s="20"/>
    </row>
    <row r="39" spans="1:10" ht="33.6">
      <c r="A39" s="27" t="s">
        <v>479</v>
      </c>
      <c r="B39" s="22" t="s">
        <v>420</v>
      </c>
      <c r="C39" s="22" t="s">
        <v>434</v>
      </c>
      <c r="D39" s="22" t="s">
        <v>421</v>
      </c>
      <c r="E39" s="22" t="s">
        <v>454</v>
      </c>
      <c r="F39" s="22" t="s">
        <v>454</v>
      </c>
      <c r="G39" s="21" t="s">
        <v>24</v>
      </c>
      <c r="H39" s="19">
        <v>46130</v>
      </c>
      <c r="I39" s="19" t="s">
        <v>1126</v>
      </c>
      <c r="J39" s="20"/>
    </row>
    <row r="40" spans="1:10" ht="50.4">
      <c r="A40" s="27" t="s">
        <v>480</v>
      </c>
      <c r="B40" s="22" t="s">
        <v>422</v>
      </c>
      <c r="C40" s="22" t="s">
        <v>435</v>
      </c>
      <c r="D40" s="22" t="s">
        <v>423</v>
      </c>
      <c r="E40" s="22" t="s">
        <v>455</v>
      </c>
      <c r="F40" s="22" t="s">
        <v>455</v>
      </c>
      <c r="G40" s="21" t="s">
        <v>24</v>
      </c>
      <c r="H40" s="19">
        <v>46130</v>
      </c>
      <c r="I40" s="19" t="s">
        <v>1126</v>
      </c>
      <c r="J40" s="20"/>
    </row>
    <row r="41" spans="1:10" ht="33.6">
      <c r="A41" s="27" t="s">
        <v>481</v>
      </c>
      <c r="B41" s="22" t="s">
        <v>424</v>
      </c>
      <c r="C41" s="22" t="s">
        <v>436</v>
      </c>
      <c r="D41" s="22" t="s">
        <v>425</v>
      </c>
      <c r="E41" s="22" t="s">
        <v>456</v>
      </c>
      <c r="F41" s="22" t="s">
        <v>456</v>
      </c>
      <c r="G41" s="21" t="s">
        <v>24</v>
      </c>
      <c r="H41" s="19">
        <v>46130</v>
      </c>
      <c r="I41" s="19" t="s">
        <v>1126</v>
      </c>
      <c r="J41" s="20"/>
    </row>
    <row r="42" spans="1:10" ht="33.6">
      <c r="A42" s="27" t="s">
        <v>482</v>
      </c>
      <c r="B42" s="22" t="s">
        <v>426</v>
      </c>
      <c r="C42" s="22" t="s">
        <v>437</v>
      </c>
      <c r="D42" s="22" t="s">
        <v>302</v>
      </c>
      <c r="E42" s="22" t="s">
        <v>457</v>
      </c>
      <c r="F42" s="22" t="s">
        <v>457</v>
      </c>
      <c r="G42" s="21" t="s">
        <v>24</v>
      </c>
      <c r="H42" s="19">
        <v>46130</v>
      </c>
      <c r="I42" s="19" t="s">
        <v>1126</v>
      </c>
      <c r="J42" s="20"/>
    </row>
  </sheetData>
  <mergeCells count="13">
    <mergeCell ref="B1:F1"/>
    <mergeCell ref="B2:F2"/>
    <mergeCell ref="A8:A10"/>
    <mergeCell ref="B8:B10"/>
    <mergeCell ref="C8:C10"/>
    <mergeCell ref="D8:D10"/>
    <mergeCell ref="E8:E10"/>
    <mergeCell ref="F8:F10"/>
    <mergeCell ref="A20:J20"/>
    <mergeCell ref="G8:I8"/>
    <mergeCell ref="J8:J10"/>
    <mergeCell ref="G9:I9"/>
    <mergeCell ref="A11:J11"/>
  </mergeCells>
  <phoneticPr fontId="9" type="noConversion"/>
  <conditionalFormatting sqref="G12:G19 G21:G42">
    <cfRule type="containsText" dxfId="23" priority="1" operator="containsText" text="Hoàn thành">
      <formula>NOT(ISERROR(SEARCH("Hoàn thành",G12)))</formula>
    </cfRule>
    <cfRule type="containsText" dxfId="22" priority="2" operator="containsText" text="Lỗi">
      <formula>NOT(ISERROR(SEARCH("Lỗi",G12)))</formula>
    </cfRule>
    <cfRule type="containsText" dxfId="21" priority="3" operator="containsText" text="Hoàn thành">
      <formula>NOT(ISERROR(SEARCH("Hoàn thành",G12)))</formula>
    </cfRule>
    <cfRule type="containsText" dxfId="20" priority="4" operator="containsText" text="Hoàn thành">
      <formula>NOT(ISERROR(SEARCH("Hoàn thành",G12)))</formula>
    </cfRule>
  </conditionalFormatting>
  <dataValidations count="1">
    <dataValidation type="list" allowBlank="1" showInputMessage="1" showErrorMessage="1" sqref="G12:G19 G21:G42" xr:uid="{EF03B62B-1C10-439B-BEC8-B9D41A7D1DDF}">
      <formula1>"Pass, Fail, Chưa kiểm tra, Bị chặn"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5E2E99-2BE3-4462-8F2E-AB8736AFB27D}">
  <sheetPr>
    <tabColor theme="7"/>
  </sheetPr>
  <dimension ref="A1:J37"/>
  <sheetViews>
    <sheetView topLeftCell="E18" workbookViewId="0">
      <selection activeCell="H21" sqref="H21"/>
    </sheetView>
  </sheetViews>
  <sheetFormatPr defaultColWidth="9.109375" defaultRowHeight="16.8"/>
  <cols>
    <col min="1" max="1" width="21.33203125" style="15" bestFit="1" customWidth="1"/>
    <col min="2" max="2" width="47.33203125" style="15" customWidth="1"/>
    <col min="3" max="3" width="34.33203125" style="15" bestFit="1" customWidth="1"/>
    <col min="4" max="4" width="29" style="15" bestFit="1" customWidth="1"/>
    <col min="5" max="5" width="40" style="15" bestFit="1" customWidth="1"/>
    <col min="6" max="6" width="46" style="15" bestFit="1" customWidth="1"/>
    <col min="7" max="7" width="16" style="15" bestFit="1" customWidth="1"/>
    <col min="8" max="8" width="21.5546875" style="15" bestFit="1" customWidth="1"/>
    <col min="9" max="9" width="22.6640625" style="15" bestFit="1" customWidth="1"/>
    <col min="10" max="10" width="16" style="15" bestFit="1" customWidth="1"/>
    <col min="11" max="16384" width="9.109375" style="15"/>
  </cols>
  <sheetData>
    <row r="1" spans="1:10" s="4" customFormat="1">
      <c r="A1" s="23" t="s">
        <v>4</v>
      </c>
      <c r="B1" s="103" t="s">
        <v>1</v>
      </c>
      <c r="C1" s="103"/>
      <c r="D1" s="103"/>
      <c r="E1" s="103"/>
      <c r="F1" s="103"/>
      <c r="G1" s="2"/>
      <c r="H1" s="3"/>
    </row>
    <row r="2" spans="1:10" s="4" customFormat="1">
      <c r="A2" s="23" t="s">
        <v>5</v>
      </c>
      <c r="B2" s="103" t="s">
        <v>358</v>
      </c>
      <c r="C2" s="103"/>
      <c r="D2" s="103"/>
      <c r="E2" s="103"/>
      <c r="F2" s="103"/>
      <c r="G2" s="2"/>
      <c r="H2" s="3"/>
    </row>
    <row r="3" spans="1:10" s="4" customFormat="1">
      <c r="A3" s="5"/>
      <c r="B3" s="24" t="s">
        <v>6</v>
      </c>
      <c r="C3" s="24" t="s">
        <v>7</v>
      </c>
      <c r="D3" s="24" t="s">
        <v>8</v>
      </c>
      <c r="E3" s="24" t="s">
        <v>9</v>
      </c>
      <c r="F3" s="24" t="s">
        <v>10</v>
      </c>
      <c r="G3" s="2"/>
      <c r="H3" s="3"/>
    </row>
    <row r="4" spans="1:10" s="4" customFormat="1">
      <c r="A4" s="5" t="s">
        <v>11</v>
      </c>
      <c r="B4" s="8">
        <v>25</v>
      </c>
      <c r="C4" s="8">
        <v>0</v>
      </c>
      <c r="D4" s="5">
        <v>0</v>
      </c>
      <c r="E4" s="9">
        <v>0</v>
      </c>
      <c r="F4" s="5">
        <f>SUM(B4:E4)</f>
        <v>25</v>
      </c>
      <c r="G4" s="2"/>
      <c r="H4" s="3"/>
    </row>
    <row r="5" spans="1:10" s="4" customFormat="1">
      <c r="A5" s="5" t="s">
        <v>12</v>
      </c>
      <c r="B5" s="8">
        <v>25</v>
      </c>
      <c r="C5" s="8">
        <v>0</v>
      </c>
      <c r="D5" s="5">
        <v>0</v>
      </c>
      <c r="E5" s="9">
        <v>0</v>
      </c>
      <c r="F5" s="5">
        <f>SUM(B5:E5)</f>
        <v>25</v>
      </c>
      <c r="G5" s="2"/>
      <c r="H5" s="3"/>
    </row>
    <row r="6" spans="1:10" s="4" customFormat="1">
      <c r="B6" s="11"/>
      <c r="E6" s="12"/>
      <c r="G6" s="2"/>
      <c r="H6" s="3"/>
    </row>
    <row r="7" spans="1:10" s="4" customFormat="1">
      <c r="B7" s="11"/>
      <c r="E7" s="12"/>
      <c r="G7" s="2"/>
      <c r="H7" s="3"/>
    </row>
    <row r="8" spans="1:10" s="4" customFormat="1">
      <c r="A8" s="111" t="s">
        <v>13</v>
      </c>
      <c r="B8" s="111" t="s">
        <v>3</v>
      </c>
      <c r="C8" s="111" t="s">
        <v>14</v>
      </c>
      <c r="D8" s="111" t="s">
        <v>15</v>
      </c>
      <c r="E8" s="111" t="s">
        <v>16</v>
      </c>
      <c r="F8" s="111" t="s">
        <v>17</v>
      </c>
      <c r="G8" s="111" t="s">
        <v>18</v>
      </c>
      <c r="H8" s="111"/>
      <c r="I8" s="111"/>
      <c r="J8" s="111" t="s">
        <v>19</v>
      </c>
    </row>
    <row r="9" spans="1:10" s="4" customFormat="1">
      <c r="A9" s="111"/>
      <c r="B9" s="111"/>
      <c r="C9" s="111"/>
      <c r="D9" s="111"/>
      <c r="E9" s="111"/>
      <c r="F9" s="111"/>
      <c r="G9" s="111" t="s">
        <v>20</v>
      </c>
      <c r="H9" s="111"/>
      <c r="I9" s="111"/>
      <c r="J9" s="111"/>
    </row>
    <row r="10" spans="1:10" s="4" customFormat="1">
      <c r="A10" s="111"/>
      <c r="B10" s="111"/>
      <c r="C10" s="111"/>
      <c r="D10" s="111"/>
      <c r="E10" s="111"/>
      <c r="F10" s="111"/>
      <c r="G10" s="25" t="s">
        <v>21</v>
      </c>
      <c r="H10" s="26" t="s">
        <v>22</v>
      </c>
      <c r="I10" s="24" t="s">
        <v>23</v>
      </c>
      <c r="J10" s="111"/>
    </row>
    <row r="11" spans="1:10" s="4" customFormat="1">
      <c r="A11" s="105" t="s">
        <v>357</v>
      </c>
      <c r="B11" s="105"/>
      <c r="C11" s="105"/>
      <c r="D11" s="105"/>
      <c r="E11" s="105"/>
      <c r="F11" s="105"/>
      <c r="G11" s="105"/>
      <c r="H11" s="110"/>
      <c r="I11" s="110"/>
      <c r="J11" s="110"/>
    </row>
    <row r="12" spans="1:10" s="4" customFormat="1" ht="67.2">
      <c r="A12" s="22" t="s">
        <v>252</v>
      </c>
      <c r="B12" s="22" t="s">
        <v>253</v>
      </c>
      <c r="C12" s="22" t="s">
        <v>318</v>
      </c>
      <c r="D12" s="22"/>
      <c r="E12" s="22" t="s">
        <v>330</v>
      </c>
      <c r="F12" s="22" t="s">
        <v>330</v>
      </c>
      <c r="G12" s="21" t="s">
        <v>24</v>
      </c>
      <c r="H12" s="19">
        <v>46130</v>
      </c>
      <c r="I12" s="19" t="s">
        <v>1127</v>
      </c>
      <c r="J12" s="20"/>
    </row>
    <row r="13" spans="1:10" s="4" customFormat="1" ht="33.6">
      <c r="A13" s="22" t="s">
        <v>254</v>
      </c>
      <c r="B13" s="22" t="s">
        <v>255</v>
      </c>
      <c r="C13" s="22" t="s">
        <v>256</v>
      </c>
      <c r="D13" s="22"/>
      <c r="E13" s="22" t="s">
        <v>338</v>
      </c>
      <c r="F13" s="22" t="s">
        <v>338</v>
      </c>
      <c r="G13" s="21" t="s">
        <v>24</v>
      </c>
      <c r="H13" s="19">
        <v>46130</v>
      </c>
      <c r="I13" s="19" t="s">
        <v>1127</v>
      </c>
      <c r="J13" s="20"/>
    </row>
    <row r="14" spans="1:10" s="4" customFormat="1" ht="50.4">
      <c r="A14" s="22" t="s">
        <v>257</v>
      </c>
      <c r="B14" s="22" t="s">
        <v>258</v>
      </c>
      <c r="C14" s="22" t="s">
        <v>319</v>
      </c>
      <c r="D14" s="22"/>
      <c r="E14" s="22" t="s">
        <v>325</v>
      </c>
      <c r="F14" s="22" t="s">
        <v>325</v>
      </c>
      <c r="G14" s="21" t="s">
        <v>24</v>
      </c>
      <c r="H14" s="19">
        <v>46130</v>
      </c>
      <c r="I14" s="19" t="s">
        <v>1127</v>
      </c>
      <c r="J14" s="20"/>
    </row>
    <row r="15" spans="1:10" s="4" customFormat="1" ht="33.6">
      <c r="A15" s="22" t="s">
        <v>259</v>
      </c>
      <c r="B15" s="22" t="s">
        <v>260</v>
      </c>
      <c r="C15" s="22" t="s">
        <v>261</v>
      </c>
      <c r="D15" s="22" t="s">
        <v>262</v>
      </c>
      <c r="E15" s="22" t="s">
        <v>321</v>
      </c>
      <c r="F15" s="22" t="s">
        <v>321</v>
      </c>
      <c r="G15" s="21" t="s">
        <v>24</v>
      </c>
      <c r="H15" s="19">
        <v>46130</v>
      </c>
      <c r="I15" s="19" t="s">
        <v>1127</v>
      </c>
      <c r="J15" s="20"/>
    </row>
    <row r="16" spans="1:10" s="4" customFormat="1" ht="50.4">
      <c r="A16" s="22" t="s">
        <v>263</v>
      </c>
      <c r="B16" s="22" t="s">
        <v>264</v>
      </c>
      <c r="C16" s="22" t="s">
        <v>265</v>
      </c>
      <c r="D16" s="22" t="s">
        <v>266</v>
      </c>
      <c r="E16" s="22" t="s">
        <v>326</v>
      </c>
      <c r="F16" s="22" t="s">
        <v>326</v>
      </c>
      <c r="G16" s="21" t="s">
        <v>24</v>
      </c>
      <c r="H16" s="19">
        <v>46130</v>
      </c>
      <c r="I16" s="19" t="s">
        <v>1127</v>
      </c>
      <c r="J16" s="20"/>
    </row>
    <row r="17" spans="1:10" s="4" customFormat="1" ht="33.6">
      <c r="A17" s="22" t="s">
        <v>267</v>
      </c>
      <c r="B17" s="22" t="s">
        <v>268</v>
      </c>
      <c r="C17" s="22" t="s">
        <v>320</v>
      </c>
      <c r="D17" s="22" t="s">
        <v>269</v>
      </c>
      <c r="E17" s="22" t="s">
        <v>327</v>
      </c>
      <c r="F17" s="22" t="s">
        <v>327</v>
      </c>
      <c r="G17" s="21" t="s">
        <v>24</v>
      </c>
      <c r="H17" s="19">
        <v>46130</v>
      </c>
      <c r="I17" s="19" t="s">
        <v>1127</v>
      </c>
      <c r="J17" s="20"/>
    </row>
    <row r="18" spans="1:10" s="4" customFormat="1" ht="67.2">
      <c r="A18" s="22" t="s">
        <v>270</v>
      </c>
      <c r="B18" s="22" t="s">
        <v>271</v>
      </c>
      <c r="C18" s="22" t="s">
        <v>272</v>
      </c>
      <c r="D18" s="22" t="s">
        <v>273</v>
      </c>
      <c r="E18" s="22" t="s">
        <v>274</v>
      </c>
      <c r="F18" s="22" t="s">
        <v>274</v>
      </c>
      <c r="G18" s="21" t="s">
        <v>24</v>
      </c>
      <c r="H18" s="19">
        <v>46130</v>
      </c>
      <c r="I18" s="19" t="s">
        <v>1127</v>
      </c>
      <c r="J18" s="20"/>
    </row>
    <row r="19" spans="1:10" s="4" customFormat="1">
      <c r="A19" s="107" t="s">
        <v>356</v>
      </c>
      <c r="B19" s="107"/>
      <c r="C19" s="107"/>
      <c r="D19" s="107"/>
      <c r="E19" s="107"/>
      <c r="F19" s="107"/>
      <c r="G19" s="108"/>
      <c r="H19" s="109"/>
      <c r="I19" s="109"/>
      <c r="J19" s="109"/>
    </row>
    <row r="20" spans="1:10" s="4" customFormat="1" ht="67.2">
      <c r="A20" s="22" t="s">
        <v>275</v>
      </c>
      <c r="B20" s="22" t="s">
        <v>276</v>
      </c>
      <c r="C20" s="22" t="s">
        <v>339</v>
      </c>
      <c r="D20" s="22"/>
      <c r="E20" s="22" t="s">
        <v>330</v>
      </c>
      <c r="F20" s="22" t="s">
        <v>330</v>
      </c>
      <c r="G20" s="21" t="s">
        <v>24</v>
      </c>
      <c r="H20" s="19">
        <v>46130</v>
      </c>
      <c r="I20" s="19" t="s">
        <v>1127</v>
      </c>
      <c r="J20" s="20"/>
    </row>
    <row r="21" spans="1:10" s="4" customFormat="1" ht="33.6">
      <c r="A21" s="22" t="s">
        <v>277</v>
      </c>
      <c r="B21" s="22" t="s">
        <v>278</v>
      </c>
      <c r="C21" s="22" t="s">
        <v>340</v>
      </c>
      <c r="D21" s="22"/>
      <c r="E21" s="22" t="s">
        <v>338</v>
      </c>
      <c r="F21" s="22" t="s">
        <v>338</v>
      </c>
      <c r="G21" s="21" t="s">
        <v>24</v>
      </c>
      <c r="H21" s="19">
        <v>46130</v>
      </c>
      <c r="I21" s="19" t="s">
        <v>1127</v>
      </c>
      <c r="J21" s="20"/>
    </row>
    <row r="22" spans="1:10" s="4" customFormat="1" ht="50.4">
      <c r="A22" s="22" t="s">
        <v>279</v>
      </c>
      <c r="B22" s="22" t="s">
        <v>280</v>
      </c>
      <c r="C22" s="22" t="s">
        <v>341</v>
      </c>
      <c r="D22" s="22" t="s">
        <v>281</v>
      </c>
      <c r="E22" s="22" t="s">
        <v>325</v>
      </c>
      <c r="F22" s="22" t="s">
        <v>325</v>
      </c>
      <c r="G22" s="21" t="s">
        <v>24</v>
      </c>
      <c r="H22" s="19">
        <v>46130</v>
      </c>
      <c r="I22" s="19" t="s">
        <v>1127</v>
      </c>
      <c r="J22" s="20"/>
    </row>
    <row r="23" spans="1:10" s="4" customFormat="1" ht="33.6">
      <c r="A23" s="22" t="s">
        <v>282</v>
      </c>
      <c r="B23" s="22" t="s">
        <v>283</v>
      </c>
      <c r="C23" s="22" t="s">
        <v>322</v>
      </c>
      <c r="D23" s="22"/>
      <c r="E23" s="22" t="s">
        <v>321</v>
      </c>
      <c r="F23" s="22" t="s">
        <v>321</v>
      </c>
      <c r="G23" s="21" t="s">
        <v>24</v>
      </c>
      <c r="H23" s="19">
        <v>46130</v>
      </c>
      <c r="I23" s="19" t="s">
        <v>1127</v>
      </c>
      <c r="J23" s="20"/>
    </row>
    <row r="24" spans="1:10" s="4" customFormat="1" ht="50.4">
      <c r="A24" s="22" t="s">
        <v>284</v>
      </c>
      <c r="B24" s="22" t="s">
        <v>285</v>
      </c>
      <c r="C24" s="22" t="s">
        <v>342</v>
      </c>
      <c r="D24" s="22" t="s">
        <v>286</v>
      </c>
      <c r="E24" s="22" t="s">
        <v>326</v>
      </c>
      <c r="F24" s="22" t="s">
        <v>326</v>
      </c>
      <c r="G24" s="21" t="s">
        <v>24</v>
      </c>
      <c r="H24" s="19">
        <v>46130</v>
      </c>
      <c r="I24" s="19" t="s">
        <v>1127</v>
      </c>
      <c r="J24" s="20"/>
    </row>
    <row r="25" spans="1:10" s="4" customFormat="1" ht="84" customHeight="1">
      <c r="A25" s="22" t="s">
        <v>287</v>
      </c>
      <c r="B25" s="22" t="s">
        <v>288</v>
      </c>
      <c r="C25" s="22" t="s">
        <v>323</v>
      </c>
      <c r="D25" s="22" t="s">
        <v>266</v>
      </c>
      <c r="E25" s="22" t="s">
        <v>327</v>
      </c>
      <c r="F25" s="22" t="s">
        <v>327</v>
      </c>
      <c r="G25" s="21" t="s">
        <v>24</v>
      </c>
      <c r="H25" s="19">
        <v>46130</v>
      </c>
      <c r="I25" s="19" t="s">
        <v>1127</v>
      </c>
      <c r="J25" s="20"/>
    </row>
    <row r="26" spans="1:10" s="4" customFormat="1" ht="67.2">
      <c r="A26" s="22" t="s">
        <v>289</v>
      </c>
      <c r="B26" s="22" t="s">
        <v>290</v>
      </c>
      <c r="C26" s="22" t="s">
        <v>343</v>
      </c>
      <c r="D26" s="22" t="s">
        <v>291</v>
      </c>
      <c r="E26" s="22" t="s">
        <v>274</v>
      </c>
      <c r="F26" s="22" t="s">
        <v>274</v>
      </c>
      <c r="G26" s="21" t="s">
        <v>24</v>
      </c>
      <c r="H26" s="19">
        <v>46130</v>
      </c>
      <c r="I26" s="19" t="s">
        <v>1127</v>
      </c>
      <c r="J26" s="20"/>
    </row>
    <row r="27" spans="1:10" s="4" customFormat="1" ht="50.4">
      <c r="A27" s="22" t="s">
        <v>292</v>
      </c>
      <c r="B27" s="22" t="s">
        <v>293</v>
      </c>
      <c r="C27" s="22" t="s">
        <v>294</v>
      </c>
      <c r="D27" s="22" t="s">
        <v>295</v>
      </c>
      <c r="E27" s="22" t="s">
        <v>328</v>
      </c>
      <c r="F27" s="22" t="s">
        <v>328</v>
      </c>
      <c r="G27" s="21" t="s">
        <v>24</v>
      </c>
      <c r="H27" s="19">
        <v>46130</v>
      </c>
      <c r="I27" s="19" t="s">
        <v>1127</v>
      </c>
      <c r="J27" s="20"/>
    </row>
    <row r="28" spans="1:10" s="4" customFormat="1" ht="33.6">
      <c r="A28" s="22" t="s">
        <v>346</v>
      </c>
      <c r="B28" s="22" t="s">
        <v>296</v>
      </c>
      <c r="C28" s="22" t="s">
        <v>297</v>
      </c>
      <c r="D28" s="22" t="s">
        <v>298</v>
      </c>
      <c r="E28" s="22" t="s">
        <v>331</v>
      </c>
      <c r="F28" s="22" t="s">
        <v>331</v>
      </c>
      <c r="G28" s="21" t="s">
        <v>24</v>
      </c>
      <c r="H28" s="19">
        <v>46130</v>
      </c>
      <c r="I28" s="19" t="s">
        <v>1127</v>
      </c>
      <c r="J28" s="20"/>
    </row>
    <row r="29" spans="1:10" ht="33.6">
      <c r="A29" s="22" t="s">
        <v>347</v>
      </c>
      <c r="B29" s="22" t="s">
        <v>299</v>
      </c>
      <c r="C29" s="22" t="s">
        <v>300</v>
      </c>
      <c r="D29" s="22"/>
      <c r="E29" s="22" t="s">
        <v>324</v>
      </c>
      <c r="F29" s="22" t="s">
        <v>324</v>
      </c>
      <c r="G29" s="21" t="s">
        <v>24</v>
      </c>
      <c r="H29" s="19">
        <v>46130</v>
      </c>
      <c r="I29" s="19" t="s">
        <v>1127</v>
      </c>
      <c r="J29" s="20"/>
    </row>
    <row r="30" spans="1:10" ht="50.4">
      <c r="A30" s="22" t="s">
        <v>348</v>
      </c>
      <c r="B30" s="22" t="s">
        <v>301</v>
      </c>
      <c r="C30" s="22" t="s">
        <v>312</v>
      </c>
      <c r="D30" s="22" t="s">
        <v>302</v>
      </c>
      <c r="E30" s="22" t="s">
        <v>332</v>
      </c>
      <c r="F30" s="22" t="s">
        <v>332</v>
      </c>
      <c r="G30" s="21" t="s">
        <v>24</v>
      </c>
      <c r="H30" s="19">
        <v>46130</v>
      </c>
      <c r="I30" s="19" t="s">
        <v>1127</v>
      </c>
      <c r="J30" s="20"/>
    </row>
    <row r="31" spans="1:10" ht="50.4">
      <c r="A31" s="22" t="s">
        <v>349</v>
      </c>
      <c r="B31" s="22" t="s">
        <v>303</v>
      </c>
      <c r="C31" s="22" t="s">
        <v>313</v>
      </c>
      <c r="D31" s="22" t="s">
        <v>302</v>
      </c>
      <c r="E31" s="22" t="s">
        <v>333</v>
      </c>
      <c r="F31" s="22" t="s">
        <v>333</v>
      </c>
      <c r="G31" s="21" t="s">
        <v>24</v>
      </c>
      <c r="H31" s="19">
        <v>46130</v>
      </c>
      <c r="I31" s="19" t="s">
        <v>1127</v>
      </c>
      <c r="J31" s="20"/>
    </row>
    <row r="32" spans="1:10" ht="50.4">
      <c r="A32" s="22" t="s">
        <v>350</v>
      </c>
      <c r="B32" s="22" t="s">
        <v>304</v>
      </c>
      <c r="C32" s="22" t="s">
        <v>314</v>
      </c>
      <c r="D32" s="22" t="s">
        <v>302</v>
      </c>
      <c r="E32" s="22" t="s">
        <v>334</v>
      </c>
      <c r="F32" s="22" t="s">
        <v>334</v>
      </c>
      <c r="G32" s="21" t="s">
        <v>24</v>
      </c>
      <c r="H32" s="19">
        <v>46130</v>
      </c>
      <c r="I32" s="19" t="s">
        <v>1127</v>
      </c>
      <c r="J32" s="20"/>
    </row>
    <row r="33" spans="1:10" ht="50.4">
      <c r="A33" s="22" t="s">
        <v>351</v>
      </c>
      <c r="B33" s="22" t="s">
        <v>305</v>
      </c>
      <c r="C33" s="22" t="s">
        <v>315</v>
      </c>
      <c r="D33" s="22" t="s">
        <v>306</v>
      </c>
      <c r="E33" s="22" t="s">
        <v>335</v>
      </c>
      <c r="F33" s="22" t="s">
        <v>335</v>
      </c>
      <c r="G33" s="21" t="s">
        <v>24</v>
      </c>
      <c r="H33" s="19">
        <v>46130</v>
      </c>
      <c r="I33" s="19" t="s">
        <v>1127</v>
      </c>
      <c r="J33" s="20"/>
    </row>
    <row r="34" spans="1:10" ht="50.4">
      <c r="A34" s="22" t="s">
        <v>352</v>
      </c>
      <c r="B34" s="22" t="s">
        <v>288</v>
      </c>
      <c r="C34" s="22" t="s">
        <v>316</v>
      </c>
      <c r="D34" s="22" t="s">
        <v>307</v>
      </c>
      <c r="E34" s="22" t="s">
        <v>336</v>
      </c>
      <c r="F34" s="22" t="s">
        <v>336</v>
      </c>
      <c r="G34" s="21" t="s">
        <v>24</v>
      </c>
      <c r="H34" s="19">
        <v>46130</v>
      </c>
      <c r="I34" s="19" t="s">
        <v>1127</v>
      </c>
      <c r="J34" s="20"/>
    </row>
    <row r="35" spans="1:10" ht="14.4" customHeight="1">
      <c r="A35" s="22" t="s">
        <v>353</v>
      </c>
      <c r="B35" s="22" t="s">
        <v>308</v>
      </c>
      <c r="C35" s="22" t="s">
        <v>316</v>
      </c>
      <c r="D35" s="22" t="s">
        <v>309</v>
      </c>
      <c r="E35" s="22" t="s">
        <v>337</v>
      </c>
      <c r="F35" s="22" t="s">
        <v>337</v>
      </c>
      <c r="G35" s="21" t="s">
        <v>24</v>
      </c>
      <c r="H35" s="19">
        <v>46130</v>
      </c>
      <c r="I35" s="19" t="s">
        <v>1127</v>
      </c>
      <c r="J35" s="20"/>
    </row>
    <row r="36" spans="1:10" ht="14.4" customHeight="1">
      <c r="A36" s="22" t="s">
        <v>354</v>
      </c>
      <c r="B36" s="22" t="s">
        <v>310</v>
      </c>
      <c r="C36" s="22" t="s">
        <v>344</v>
      </c>
      <c r="D36" s="22" t="s">
        <v>295</v>
      </c>
      <c r="E36" s="22" t="s">
        <v>329</v>
      </c>
      <c r="F36" s="22" t="s">
        <v>329</v>
      </c>
      <c r="G36" s="21" t="s">
        <v>24</v>
      </c>
      <c r="H36" s="19">
        <v>46130</v>
      </c>
      <c r="I36" s="19" t="s">
        <v>1127</v>
      </c>
      <c r="J36" s="20"/>
    </row>
    <row r="37" spans="1:10" ht="14.4" customHeight="1">
      <c r="A37" s="22" t="s">
        <v>355</v>
      </c>
      <c r="B37" s="22" t="s">
        <v>311</v>
      </c>
      <c r="C37" s="22" t="s">
        <v>317</v>
      </c>
      <c r="D37" s="22"/>
      <c r="E37" s="22" t="s">
        <v>345</v>
      </c>
      <c r="F37" s="22" t="s">
        <v>345</v>
      </c>
      <c r="G37" s="21" t="s">
        <v>24</v>
      </c>
      <c r="H37" s="19">
        <v>46130</v>
      </c>
      <c r="I37" s="19" t="s">
        <v>1127</v>
      </c>
      <c r="J37" s="20"/>
    </row>
  </sheetData>
  <mergeCells count="13">
    <mergeCell ref="B1:F1"/>
    <mergeCell ref="B2:F2"/>
    <mergeCell ref="A8:A10"/>
    <mergeCell ref="B8:B10"/>
    <mergeCell ref="C8:C10"/>
    <mergeCell ref="D8:D10"/>
    <mergeCell ref="E8:E10"/>
    <mergeCell ref="F8:F10"/>
    <mergeCell ref="A19:J19"/>
    <mergeCell ref="G8:I8"/>
    <mergeCell ref="J8:J10"/>
    <mergeCell ref="G9:I9"/>
    <mergeCell ref="A11:J11"/>
  </mergeCells>
  <phoneticPr fontId="9" type="noConversion"/>
  <conditionalFormatting sqref="G12:G18 G20:G37">
    <cfRule type="containsText" dxfId="19" priority="1" operator="containsText" text="Hoàn thành">
      <formula>NOT(ISERROR(SEARCH("Hoàn thành",G12)))</formula>
    </cfRule>
    <cfRule type="containsText" dxfId="18" priority="2" operator="containsText" text="Lỗi">
      <formula>NOT(ISERROR(SEARCH("Lỗi",G12)))</formula>
    </cfRule>
    <cfRule type="containsText" dxfId="17" priority="3" operator="containsText" text="Hoàn thành">
      <formula>NOT(ISERROR(SEARCH("Hoàn thành",G12)))</formula>
    </cfRule>
    <cfRule type="containsText" dxfId="16" priority="4" operator="containsText" text="Hoàn thành">
      <formula>NOT(ISERROR(SEARCH("Hoàn thành",G12)))</formula>
    </cfRule>
  </conditionalFormatting>
  <dataValidations count="1">
    <dataValidation type="list" allowBlank="1" showInputMessage="1" showErrorMessage="1" sqref="G12:G18 G20:G37" xr:uid="{C46D644B-5B98-409D-A756-801C2DA70E74}">
      <formula1>"Pass, Fail, Chưa kiểm tra, Bị chặn"</formula1>
    </dataValidation>
  </dataValidation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CBC171-AA7F-408A-B621-73023CDB7062}">
  <sheetPr>
    <tabColor theme="9"/>
  </sheetPr>
  <dimension ref="A1:J36"/>
  <sheetViews>
    <sheetView topLeftCell="B1" zoomScale="71" workbookViewId="0">
      <selection activeCell="H15" sqref="H15"/>
    </sheetView>
  </sheetViews>
  <sheetFormatPr defaultColWidth="9.109375" defaultRowHeight="16.8"/>
  <cols>
    <col min="1" max="1" width="21.33203125" style="15" bestFit="1" customWidth="1"/>
    <col min="2" max="2" width="47.33203125" style="15" customWidth="1"/>
    <col min="3" max="3" width="34.33203125" style="15" bestFit="1" customWidth="1"/>
    <col min="4" max="4" width="29" style="15" bestFit="1" customWidth="1"/>
    <col min="5" max="5" width="40" style="15" bestFit="1" customWidth="1"/>
    <col min="6" max="6" width="46" style="15" bestFit="1" customWidth="1"/>
    <col min="7" max="7" width="16" style="15" bestFit="1" customWidth="1"/>
    <col min="8" max="8" width="21.5546875" style="15" bestFit="1" customWidth="1"/>
    <col min="9" max="9" width="22.6640625" style="15" bestFit="1" customWidth="1"/>
    <col min="10" max="10" width="16" style="15" bestFit="1" customWidth="1"/>
    <col min="11" max="16384" width="9.109375" style="15"/>
  </cols>
  <sheetData>
    <row r="1" spans="1:10" s="4" customFormat="1">
      <c r="A1" s="23" t="s">
        <v>4</v>
      </c>
      <c r="B1" s="103" t="s">
        <v>1</v>
      </c>
      <c r="C1" s="103"/>
      <c r="D1" s="103"/>
      <c r="E1" s="103"/>
      <c r="F1" s="103"/>
      <c r="G1" s="2"/>
      <c r="H1" s="3"/>
    </row>
    <row r="2" spans="1:10" s="4" customFormat="1">
      <c r="A2" s="23" t="s">
        <v>5</v>
      </c>
      <c r="B2" s="103" t="s">
        <v>586</v>
      </c>
      <c r="C2" s="103"/>
      <c r="D2" s="103"/>
      <c r="E2" s="103"/>
      <c r="F2" s="103"/>
      <c r="G2" s="2"/>
      <c r="H2" s="3"/>
    </row>
    <row r="3" spans="1:10" s="4" customFormat="1">
      <c r="A3" s="5"/>
      <c r="B3" s="24" t="s">
        <v>6</v>
      </c>
      <c r="C3" s="24" t="s">
        <v>7</v>
      </c>
      <c r="D3" s="24" t="s">
        <v>8</v>
      </c>
      <c r="E3" s="24" t="s">
        <v>9</v>
      </c>
      <c r="F3" s="24" t="s">
        <v>10</v>
      </c>
      <c r="G3" s="2"/>
      <c r="H3" s="3"/>
    </row>
    <row r="4" spans="1:10" s="4" customFormat="1">
      <c r="A4" s="5" t="s">
        <v>11</v>
      </c>
      <c r="B4" s="8">
        <v>24</v>
      </c>
      <c r="C4" s="8">
        <v>0</v>
      </c>
      <c r="D4" s="5">
        <v>0</v>
      </c>
      <c r="E4" s="9">
        <v>0</v>
      </c>
      <c r="F4" s="5">
        <f>SUM(B4:E4)</f>
        <v>24</v>
      </c>
      <c r="G4" s="2"/>
      <c r="H4" s="3"/>
    </row>
    <row r="5" spans="1:10" s="4" customFormat="1">
      <c r="A5" s="5" t="s">
        <v>12</v>
      </c>
      <c r="B5" s="8">
        <v>24</v>
      </c>
      <c r="C5" s="8">
        <v>0</v>
      </c>
      <c r="D5" s="5">
        <v>0</v>
      </c>
      <c r="E5" s="9">
        <v>0</v>
      </c>
      <c r="F5" s="5">
        <f>SUM(B5:E5)</f>
        <v>24</v>
      </c>
      <c r="G5" s="2"/>
      <c r="H5" s="3"/>
    </row>
    <row r="6" spans="1:10" s="4" customFormat="1">
      <c r="B6" s="11"/>
      <c r="E6" s="12"/>
      <c r="G6" s="2"/>
      <c r="H6" s="3"/>
    </row>
    <row r="7" spans="1:10" s="4" customFormat="1">
      <c r="B7" s="11"/>
      <c r="E7" s="12"/>
      <c r="G7" s="2"/>
      <c r="H7" s="3"/>
    </row>
    <row r="8" spans="1:10" s="4" customFormat="1">
      <c r="A8" s="111" t="s">
        <v>13</v>
      </c>
      <c r="B8" s="111" t="s">
        <v>3</v>
      </c>
      <c r="C8" s="111" t="s">
        <v>14</v>
      </c>
      <c r="D8" s="111" t="s">
        <v>15</v>
      </c>
      <c r="E8" s="111" t="s">
        <v>16</v>
      </c>
      <c r="F8" s="111" t="s">
        <v>17</v>
      </c>
      <c r="G8" s="111" t="s">
        <v>18</v>
      </c>
      <c r="H8" s="111"/>
      <c r="I8" s="111"/>
      <c r="J8" s="111" t="s">
        <v>19</v>
      </c>
    </row>
    <row r="9" spans="1:10" s="4" customFormat="1">
      <c r="A9" s="111"/>
      <c r="B9" s="111"/>
      <c r="C9" s="111"/>
      <c r="D9" s="111"/>
      <c r="E9" s="111"/>
      <c r="F9" s="111"/>
      <c r="G9" s="111" t="s">
        <v>20</v>
      </c>
      <c r="H9" s="111"/>
      <c r="I9" s="111"/>
      <c r="J9" s="111"/>
    </row>
    <row r="10" spans="1:10" s="4" customFormat="1">
      <c r="A10" s="111"/>
      <c r="B10" s="111"/>
      <c r="C10" s="111"/>
      <c r="D10" s="111"/>
      <c r="E10" s="111"/>
      <c r="F10" s="111"/>
      <c r="G10" s="25" t="s">
        <v>21</v>
      </c>
      <c r="H10" s="26" t="s">
        <v>22</v>
      </c>
      <c r="I10" s="24" t="s">
        <v>23</v>
      </c>
      <c r="J10" s="111"/>
    </row>
    <row r="11" spans="1:10" s="4" customFormat="1">
      <c r="A11" s="105" t="s">
        <v>584</v>
      </c>
      <c r="B11" s="105"/>
      <c r="C11" s="105"/>
      <c r="D11" s="105"/>
      <c r="E11" s="105"/>
      <c r="F11" s="105"/>
      <c r="G11" s="105"/>
      <c r="H11" s="110"/>
      <c r="I11" s="110"/>
      <c r="J11" s="110"/>
    </row>
    <row r="12" spans="1:10" s="4" customFormat="1" ht="67.2">
      <c r="A12" s="22" t="s">
        <v>487</v>
      </c>
      <c r="B12" s="22" t="s">
        <v>488</v>
      </c>
      <c r="C12" s="22" t="s">
        <v>43</v>
      </c>
      <c r="D12" s="22"/>
      <c r="E12" s="22" t="s">
        <v>574</v>
      </c>
      <c r="F12" s="22" t="s">
        <v>574</v>
      </c>
      <c r="G12" s="21" t="s">
        <v>24</v>
      </c>
      <c r="H12" s="19">
        <v>46130</v>
      </c>
      <c r="I12" s="19" t="s">
        <v>1128</v>
      </c>
      <c r="J12" s="20"/>
    </row>
    <row r="13" spans="1:10" s="4" customFormat="1" ht="50.4">
      <c r="A13" s="22" t="s">
        <v>489</v>
      </c>
      <c r="B13" s="22" t="s">
        <v>490</v>
      </c>
      <c r="C13" s="22" t="s">
        <v>491</v>
      </c>
      <c r="D13" s="22"/>
      <c r="E13" s="22" t="s">
        <v>557</v>
      </c>
      <c r="F13" s="22" t="s">
        <v>557</v>
      </c>
      <c r="G13" s="21" t="s">
        <v>24</v>
      </c>
      <c r="H13" s="19">
        <v>46130</v>
      </c>
      <c r="I13" s="19" t="s">
        <v>1128</v>
      </c>
      <c r="J13" s="20"/>
    </row>
    <row r="14" spans="1:10" s="4" customFormat="1" ht="67.2">
      <c r="A14" s="22" t="s">
        <v>492</v>
      </c>
      <c r="B14" s="22" t="s">
        <v>493</v>
      </c>
      <c r="C14" s="22" t="s">
        <v>494</v>
      </c>
      <c r="D14" s="22"/>
      <c r="E14" s="22" t="s">
        <v>581</v>
      </c>
      <c r="F14" s="22" t="s">
        <v>581</v>
      </c>
      <c r="G14" s="21" t="s">
        <v>24</v>
      </c>
      <c r="H14" s="19">
        <v>46130</v>
      </c>
      <c r="I14" s="19" t="s">
        <v>1128</v>
      </c>
      <c r="J14" s="20"/>
    </row>
    <row r="15" spans="1:10" s="4" customFormat="1" ht="84">
      <c r="A15" s="22" t="s">
        <v>495</v>
      </c>
      <c r="B15" s="22" t="s">
        <v>496</v>
      </c>
      <c r="C15" s="22" t="s">
        <v>497</v>
      </c>
      <c r="D15" s="22"/>
      <c r="E15" s="22" t="s">
        <v>579</v>
      </c>
      <c r="F15" s="22" t="s">
        <v>579</v>
      </c>
      <c r="G15" s="21" t="s">
        <v>24</v>
      </c>
      <c r="H15" s="19">
        <v>46130</v>
      </c>
      <c r="I15" s="19" t="s">
        <v>1128</v>
      </c>
      <c r="J15" s="20"/>
    </row>
    <row r="16" spans="1:10" s="4" customFormat="1" ht="33.6">
      <c r="A16" s="22" t="s">
        <v>498</v>
      </c>
      <c r="B16" s="22" t="s">
        <v>499</v>
      </c>
      <c r="C16" s="22" t="s">
        <v>558</v>
      </c>
      <c r="D16" s="22" t="s">
        <v>500</v>
      </c>
      <c r="E16" s="22" t="s">
        <v>501</v>
      </c>
      <c r="F16" s="22" t="s">
        <v>501</v>
      </c>
      <c r="G16" s="21"/>
      <c r="H16" s="19">
        <v>46130</v>
      </c>
      <c r="I16" s="19" t="s">
        <v>1128</v>
      </c>
      <c r="J16" s="20"/>
    </row>
    <row r="17" spans="1:10" s="4" customFormat="1" ht="33.6">
      <c r="A17" s="22" t="s">
        <v>502</v>
      </c>
      <c r="B17" s="22" t="s">
        <v>503</v>
      </c>
      <c r="C17" s="22" t="s">
        <v>504</v>
      </c>
      <c r="D17" s="22" t="s">
        <v>505</v>
      </c>
      <c r="E17" s="22" t="s">
        <v>559</v>
      </c>
      <c r="F17" s="22" t="s">
        <v>559</v>
      </c>
      <c r="G17" s="21"/>
      <c r="H17" s="19">
        <v>46130</v>
      </c>
      <c r="I17" s="19" t="s">
        <v>1128</v>
      </c>
      <c r="J17" s="20"/>
    </row>
    <row r="18" spans="1:10" s="4" customFormat="1" ht="50.4">
      <c r="A18" s="22" t="s">
        <v>506</v>
      </c>
      <c r="B18" s="22" t="s">
        <v>507</v>
      </c>
      <c r="C18" s="22" t="s">
        <v>508</v>
      </c>
      <c r="D18" s="22"/>
      <c r="E18" s="22" t="s">
        <v>562</v>
      </c>
      <c r="F18" s="22" t="s">
        <v>562</v>
      </c>
      <c r="G18" s="21"/>
      <c r="H18" s="19">
        <v>46130</v>
      </c>
      <c r="I18" s="19" t="s">
        <v>1128</v>
      </c>
      <c r="J18" s="20"/>
    </row>
    <row r="19" spans="1:10" s="4" customFormat="1" ht="50.4">
      <c r="A19" s="22" t="s">
        <v>509</v>
      </c>
      <c r="B19" s="22" t="s">
        <v>510</v>
      </c>
      <c r="C19" s="22" t="s">
        <v>582</v>
      </c>
      <c r="D19" s="22"/>
      <c r="E19" s="22" t="s">
        <v>563</v>
      </c>
      <c r="F19" s="22" t="s">
        <v>563</v>
      </c>
      <c r="G19" s="21" t="s">
        <v>24</v>
      </c>
      <c r="H19" s="19">
        <v>46130</v>
      </c>
      <c r="I19" s="19" t="s">
        <v>1128</v>
      </c>
      <c r="J19" s="20"/>
    </row>
    <row r="20" spans="1:10" s="4" customFormat="1" ht="33.6">
      <c r="A20" s="22" t="s">
        <v>511</v>
      </c>
      <c r="B20" s="22" t="s">
        <v>512</v>
      </c>
      <c r="C20" s="22" t="s">
        <v>583</v>
      </c>
      <c r="D20" s="22"/>
      <c r="E20" s="22" t="s">
        <v>564</v>
      </c>
      <c r="F20" s="22" t="s">
        <v>564</v>
      </c>
      <c r="G20" s="21" t="s">
        <v>24</v>
      </c>
      <c r="H20" s="19">
        <v>46130</v>
      </c>
      <c r="I20" s="19" t="s">
        <v>1128</v>
      </c>
      <c r="J20" s="20"/>
    </row>
    <row r="21" spans="1:10" s="4" customFormat="1" ht="50.4">
      <c r="A21" s="22" t="s">
        <v>513</v>
      </c>
      <c r="B21" s="22" t="s">
        <v>514</v>
      </c>
      <c r="C21" s="22" t="s">
        <v>515</v>
      </c>
      <c r="D21" s="22"/>
      <c r="E21" s="22" t="s">
        <v>565</v>
      </c>
      <c r="F21" s="22" t="s">
        <v>565</v>
      </c>
      <c r="G21" s="21" t="s">
        <v>24</v>
      </c>
      <c r="H21" s="19">
        <v>46130</v>
      </c>
      <c r="I21" s="19" t="s">
        <v>1128</v>
      </c>
      <c r="J21" s="20"/>
    </row>
    <row r="22" spans="1:10" s="4" customFormat="1">
      <c r="A22" s="107" t="s">
        <v>585</v>
      </c>
      <c r="B22" s="107"/>
      <c r="C22" s="107"/>
      <c r="D22" s="107"/>
      <c r="E22" s="107"/>
      <c r="F22" s="107"/>
      <c r="G22" s="108"/>
      <c r="H22" s="109"/>
      <c r="I22" s="109"/>
      <c r="J22" s="109"/>
    </row>
    <row r="23" spans="1:10" s="4" customFormat="1" ht="50.4">
      <c r="A23" s="22" t="s">
        <v>516</v>
      </c>
      <c r="B23" s="22" t="s">
        <v>517</v>
      </c>
      <c r="C23" s="22" t="s">
        <v>546</v>
      </c>
      <c r="D23" s="22" t="s">
        <v>518</v>
      </c>
      <c r="E23" s="22" t="s">
        <v>547</v>
      </c>
      <c r="F23" s="22" t="s">
        <v>547</v>
      </c>
      <c r="G23" s="21" t="s">
        <v>24</v>
      </c>
      <c r="H23" s="19">
        <v>46130</v>
      </c>
      <c r="I23" s="19" t="s">
        <v>1128</v>
      </c>
      <c r="J23" s="20"/>
    </row>
    <row r="24" spans="1:10" s="4" customFormat="1" ht="33.6">
      <c r="A24" s="22" t="s">
        <v>519</v>
      </c>
      <c r="B24" s="22" t="s">
        <v>520</v>
      </c>
      <c r="C24" s="22" t="s">
        <v>546</v>
      </c>
      <c r="D24" s="22" t="s">
        <v>521</v>
      </c>
      <c r="E24" s="22" t="s">
        <v>566</v>
      </c>
      <c r="F24" s="22" t="s">
        <v>566</v>
      </c>
      <c r="G24" s="21" t="s">
        <v>24</v>
      </c>
      <c r="H24" s="19">
        <v>46130</v>
      </c>
      <c r="I24" s="19" t="s">
        <v>1128</v>
      </c>
      <c r="J24" s="20"/>
    </row>
    <row r="25" spans="1:10" s="4" customFormat="1" ht="50.4">
      <c r="A25" s="22" t="s">
        <v>522</v>
      </c>
      <c r="B25" s="22" t="s">
        <v>523</v>
      </c>
      <c r="C25" s="22" t="s">
        <v>560</v>
      </c>
      <c r="D25" s="22" t="s">
        <v>521</v>
      </c>
      <c r="E25" s="22" t="s">
        <v>548</v>
      </c>
      <c r="F25" s="22" t="s">
        <v>548</v>
      </c>
      <c r="G25" s="21" t="s">
        <v>24</v>
      </c>
      <c r="H25" s="19">
        <v>46130</v>
      </c>
      <c r="I25" s="19" t="s">
        <v>1128</v>
      </c>
      <c r="J25" s="20"/>
    </row>
    <row r="26" spans="1:10" s="4" customFormat="1" ht="67.2">
      <c r="A26" s="22" t="s">
        <v>524</v>
      </c>
      <c r="B26" s="22" t="s">
        <v>525</v>
      </c>
      <c r="C26" s="22" t="s">
        <v>560</v>
      </c>
      <c r="D26" s="22" t="s">
        <v>526</v>
      </c>
      <c r="E26" s="22" t="s">
        <v>567</v>
      </c>
      <c r="F26" s="22" t="s">
        <v>567</v>
      </c>
      <c r="G26" s="21" t="s">
        <v>24</v>
      </c>
      <c r="H26" s="19">
        <v>46130</v>
      </c>
      <c r="I26" s="19" t="s">
        <v>1128</v>
      </c>
      <c r="J26" s="20"/>
    </row>
    <row r="27" spans="1:10" s="4" customFormat="1" ht="50.4">
      <c r="A27" s="22" t="s">
        <v>527</v>
      </c>
      <c r="B27" s="22" t="s">
        <v>528</v>
      </c>
      <c r="C27" s="22" t="s">
        <v>549</v>
      </c>
      <c r="D27" s="22" t="s">
        <v>529</v>
      </c>
      <c r="E27" s="22" t="s">
        <v>561</v>
      </c>
      <c r="F27" s="22" t="s">
        <v>561</v>
      </c>
      <c r="G27" s="21" t="s">
        <v>24</v>
      </c>
      <c r="H27" s="19">
        <v>46130</v>
      </c>
      <c r="I27" s="19" t="s">
        <v>1128</v>
      </c>
      <c r="J27" s="20"/>
    </row>
    <row r="28" spans="1:10" s="4" customFormat="1" ht="84" customHeight="1">
      <c r="A28" s="22" t="s">
        <v>530</v>
      </c>
      <c r="B28" s="22" t="s">
        <v>531</v>
      </c>
      <c r="C28" s="22" t="s">
        <v>532</v>
      </c>
      <c r="D28" s="22"/>
      <c r="E28" s="22" t="s">
        <v>533</v>
      </c>
      <c r="F28" s="22" t="s">
        <v>533</v>
      </c>
      <c r="G28" s="21" t="s">
        <v>24</v>
      </c>
      <c r="H28" s="19">
        <v>46130</v>
      </c>
      <c r="I28" s="19" t="s">
        <v>1128</v>
      </c>
      <c r="J28" s="20"/>
    </row>
    <row r="29" spans="1:10" s="4" customFormat="1" ht="84">
      <c r="A29" s="22" t="s">
        <v>534</v>
      </c>
      <c r="B29" s="22" t="s">
        <v>535</v>
      </c>
      <c r="C29" s="22" t="s">
        <v>536</v>
      </c>
      <c r="D29" s="22"/>
      <c r="E29" s="22" t="s">
        <v>575</v>
      </c>
      <c r="F29" s="22" t="s">
        <v>575</v>
      </c>
      <c r="G29" s="21" t="s">
        <v>24</v>
      </c>
      <c r="H29" s="19">
        <v>46130</v>
      </c>
      <c r="I29" s="19" t="s">
        <v>1128</v>
      </c>
      <c r="J29" s="20"/>
    </row>
    <row r="30" spans="1:10" s="4" customFormat="1" ht="33.6">
      <c r="A30" s="22" t="s">
        <v>537</v>
      </c>
      <c r="B30" s="22" t="s">
        <v>538</v>
      </c>
      <c r="C30" s="22" t="s">
        <v>539</v>
      </c>
      <c r="D30" s="22"/>
      <c r="E30" s="22" t="s">
        <v>580</v>
      </c>
      <c r="F30" s="22" t="s">
        <v>580</v>
      </c>
      <c r="G30" s="21" t="s">
        <v>24</v>
      </c>
      <c r="H30" s="19">
        <v>46130</v>
      </c>
      <c r="I30" s="19" t="s">
        <v>1128</v>
      </c>
      <c r="J30" s="20"/>
    </row>
    <row r="31" spans="1:10" s="4" customFormat="1" ht="50.4">
      <c r="A31" s="22" t="s">
        <v>568</v>
      </c>
      <c r="B31" s="22" t="s">
        <v>540</v>
      </c>
      <c r="C31" s="22" t="s">
        <v>550</v>
      </c>
      <c r="D31" s="22" t="s">
        <v>541</v>
      </c>
      <c r="E31" s="22" t="s">
        <v>576</v>
      </c>
      <c r="F31" s="22" t="s">
        <v>576</v>
      </c>
      <c r="G31" s="21" t="s">
        <v>24</v>
      </c>
      <c r="H31" s="19">
        <v>46130</v>
      </c>
      <c r="I31" s="19" t="s">
        <v>1128</v>
      </c>
      <c r="J31" s="20"/>
    </row>
    <row r="32" spans="1:10" ht="50.4">
      <c r="A32" s="22" t="s">
        <v>569</v>
      </c>
      <c r="B32" s="22" t="s">
        <v>542</v>
      </c>
      <c r="C32" s="22" t="s">
        <v>551</v>
      </c>
      <c r="D32" s="22" t="s">
        <v>518</v>
      </c>
      <c r="E32" s="22" t="s">
        <v>577</v>
      </c>
      <c r="F32" s="22" t="s">
        <v>577</v>
      </c>
      <c r="G32" s="21" t="s">
        <v>24</v>
      </c>
      <c r="H32" s="19">
        <v>46130</v>
      </c>
      <c r="I32" s="19" t="s">
        <v>1128</v>
      </c>
      <c r="J32" s="20"/>
    </row>
    <row r="33" spans="1:10" ht="33.6">
      <c r="A33" s="22" t="s">
        <v>570</v>
      </c>
      <c r="B33" s="22" t="s">
        <v>299</v>
      </c>
      <c r="C33" s="22" t="s">
        <v>552</v>
      </c>
      <c r="D33" s="22"/>
      <c r="E33" s="22" t="s">
        <v>324</v>
      </c>
      <c r="F33" s="22" t="s">
        <v>324</v>
      </c>
      <c r="G33" s="21" t="s">
        <v>24</v>
      </c>
      <c r="H33" s="19">
        <v>46130</v>
      </c>
      <c r="I33" s="19" t="s">
        <v>1128</v>
      </c>
      <c r="J33" s="20"/>
    </row>
    <row r="34" spans="1:10" ht="33.6">
      <c r="A34" s="22" t="s">
        <v>571</v>
      </c>
      <c r="B34" s="22" t="s">
        <v>543</v>
      </c>
      <c r="C34" s="22" t="s">
        <v>553</v>
      </c>
      <c r="D34" s="22" t="s">
        <v>518</v>
      </c>
      <c r="E34" s="22" t="s">
        <v>578</v>
      </c>
      <c r="F34" s="22" t="s">
        <v>578</v>
      </c>
      <c r="G34" s="21" t="s">
        <v>24</v>
      </c>
      <c r="H34" s="19">
        <v>46130</v>
      </c>
      <c r="I34" s="19" t="s">
        <v>1128</v>
      </c>
      <c r="J34" s="20"/>
    </row>
    <row r="35" spans="1:10" ht="50.4">
      <c r="A35" s="22" t="s">
        <v>572</v>
      </c>
      <c r="B35" s="22" t="s">
        <v>544</v>
      </c>
      <c r="C35" s="22" t="s">
        <v>554</v>
      </c>
      <c r="D35" s="22"/>
      <c r="E35" s="22" t="s">
        <v>324</v>
      </c>
      <c r="F35" s="22" t="s">
        <v>324</v>
      </c>
      <c r="G35" s="21" t="s">
        <v>24</v>
      </c>
      <c r="H35" s="19">
        <v>46130</v>
      </c>
      <c r="I35" s="19" t="s">
        <v>1128</v>
      </c>
      <c r="J35" s="20"/>
    </row>
    <row r="36" spans="1:10" ht="50.4">
      <c r="A36" s="22" t="s">
        <v>573</v>
      </c>
      <c r="B36" s="22" t="s">
        <v>545</v>
      </c>
      <c r="C36" s="22" t="s">
        <v>555</v>
      </c>
      <c r="D36" s="22" t="s">
        <v>518</v>
      </c>
      <c r="E36" s="22" t="s">
        <v>556</v>
      </c>
      <c r="F36" s="22" t="s">
        <v>556</v>
      </c>
      <c r="G36" s="21" t="s">
        <v>24</v>
      </c>
      <c r="H36" s="19">
        <v>46130</v>
      </c>
      <c r="I36" s="19" t="s">
        <v>1128</v>
      </c>
      <c r="J36" s="20"/>
    </row>
  </sheetData>
  <mergeCells count="13">
    <mergeCell ref="B1:F1"/>
    <mergeCell ref="B2:F2"/>
    <mergeCell ref="A8:A10"/>
    <mergeCell ref="B8:B10"/>
    <mergeCell ref="C8:C10"/>
    <mergeCell ref="D8:D10"/>
    <mergeCell ref="E8:E10"/>
    <mergeCell ref="F8:F10"/>
    <mergeCell ref="G8:I8"/>
    <mergeCell ref="J8:J10"/>
    <mergeCell ref="G9:I9"/>
    <mergeCell ref="A11:J11"/>
    <mergeCell ref="A22:J22"/>
  </mergeCells>
  <phoneticPr fontId="9" type="noConversion"/>
  <conditionalFormatting sqref="G12:G21 G23:G36">
    <cfRule type="containsText" dxfId="15" priority="1" operator="containsText" text="Hoàn thành">
      <formula>NOT(ISERROR(SEARCH("Hoàn thành",G12)))</formula>
    </cfRule>
    <cfRule type="containsText" dxfId="14" priority="2" operator="containsText" text="Lỗi">
      <formula>NOT(ISERROR(SEARCH("Lỗi",G12)))</formula>
    </cfRule>
    <cfRule type="containsText" dxfId="13" priority="3" operator="containsText" text="Hoàn thành">
      <formula>NOT(ISERROR(SEARCH("Hoàn thành",G12)))</formula>
    </cfRule>
    <cfRule type="containsText" dxfId="12" priority="4" operator="containsText" text="Hoàn thành">
      <formula>NOT(ISERROR(SEARCH("Hoàn thành",G12)))</formula>
    </cfRule>
  </conditionalFormatting>
  <dataValidations count="1">
    <dataValidation type="list" allowBlank="1" showInputMessage="1" showErrorMessage="1" sqref="G12:G21 G23:G36" xr:uid="{9BEB75EC-714E-4E18-8326-4CF453ED051F}">
      <formula1>"Pass, Fail, Chưa kiểm tra, Bị chặn"</formula1>
    </dataValidation>
  </dataValidation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10B304-9E8A-4F3C-A918-55CC84860B61}">
  <sheetPr>
    <tabColor theme="9"/>
  </sheetPr>
  <dimension ref="A1:J31"/>
  <sheetViews>
    <sheetView topLeftCell="A8" zoomScale="66" workbookViewId="0">
      <selection activeCell="H20" sqref="H20"/>
    </sheetView>
  </sheetViews>
  <sheetFormatPr defaultColWidth="9.109375" defaultRowHeight="16.8"/>
  <cols>
    <col min="1" max="1" width="21.33203125" style="15" bestFit="1" customWidth="1"/>
    <col min="2" max="2" width="47.33203125" style="15" customWidth="1"/>
    <col min="3" max="3" width="34.33203125" style="15" bestFit="1" customWidth="1"/>
    <col min="4" max="4" width="29" style="15" bestFit="1" customWidth="1"/>
    <col min="5" max="5" width="40" style="15" bestFit="1" customWidth="1"/>
    <col min="6" max="6" width="46" style="15" bestFit="1" customWidth="1"/>
    <col min="7" max="7" width="16" style="15" bestFit="1" customWidth="1"/>
    <col min="8" max="8" width="21.5546875" style="15" bestFit="1" customWidth="1"/>
    <col min="9" max="9" width="22.6640625" style="15" bestFit="1" customWidth="1"/>
    <col min="10" max="10" width="16" style="15" bestFit="1" customWidth="1"/>
    <col min="11" max="16384" width="9.109375" style="15"/>
  </cols>
  <sheetData>
    <row r="1" spans="1:10" s="4" customFormat="1">
      <c r="A1" s="23" t="s">
        <v>4</v>
      </c>
      <c r="B1" s="103" t="s">
        <v>1</v>
      </c>
      <c r="C1" s="103"/>
      <c r="D1" s="103"/>
      <c r="E1" s="103"/>
      <c r="F1" s="103"/>
      <c r="G1" s="2"/>
      <c r="H1" s="3"/>
    </row>
    <row r="2" spans="1:10" s="4" customFormat="1">
      <c r="A2" s="23" t="s">
        <v>5</v>
      </c>
      <c r="B2" s="103" t="s">
        <v>655</v>
      </c>
      <c r="C2" s="103"/>
      <c r="D2" s="103"/>
      <c r="E2" s="103"/>
      <c r="F2" s="103"/>
      <c r="G2" s="2"/>
      <c r="H2" s="3"/>
    </row>
    <row r="3" spans="1:10" s="4" customFormat="1">
      <c r="A3" s="5"/>
      <c r="B3" s="24" t="s">
        <v>6</v>
      </c>
      <c r="C3" s="24" t="s">
        <v>7</v>
      </c>
      <c r="D3" s="24" t="s">
        <v>8</v>
      </c>
      <c r="E3" s="24" t="s">
        <v>9</v>
      </c>
      <c r="F3" s="24" t="s">
        <v>10</v>
      </c>
      <c r="G3" s="2"/>
      <c r="H3" s="3"/>
    </row>
    <row r="4" spans="1:10" s="4" customFormat="1">
      <c r="A4" s="5" t="s">
        <v>11</v>
      </c>
      <c r="B4" s="8">
        <v>15</v>
      </c>
      <c r="C4" s="8">
        <v>0</v>
      </c>
      <c r="D4" s="5">
        <v>0</v>
      </c>
      <c r="E4" s="9">
        <v>0</v>
      </c>
      <c r="F4" s="5">
        <f>SUM(B4:E4)</f>
        <v>15</v>
      </c>
      <c r="G4" s="2"/>
      <c r="H4" s="3"/>
    </row>
    <row r="5" spans="1:10" s="4" customFormat="1">
      <c r="A5" s="5" t="s">
        <v>12</v>
      </c>
      <c r="B5" s="8">
        <v>15</v>
      </c>
      <c r="C5" s="8">
        <v>0</v>
      </c>
      <c r="D5" s="5">
        <v>0</v>
      </c>
      <c r="E5" s="9">
        <v>0</v>
      </c>
      <c r="F5" s="5">
        <f>SUM(B5:E5)</f>
        <v>15</v>
      </c>
      <c r="G5" s="2"/>
      <c r="H5" s="3"/>
    </row>
    <row r="6" spans="1:10" s="4" customFormat="1">
      <c r="B6" s="11"/>
      <c r="E6" s="12"/>
      <c r="G6" s="2"/>
      <c r="H6" s="3"/>
    </row>
    <row r="7" spans="1:10" s="4" customFormat="1">
      <c r="B7" s="11"/>
      <c r="E7" s="12"/>
      <c r="G7" s="2"/>
      <c r="H7" s="3"/>
    </row>
    <row r="8" spans="1:10" s="4" customFormat="1">
      <c r="A8" s="111" t="s">
        <v>13</v>
      </c>
      <c r="B8" s="111" t="s">
        <v>3</v>
      </c>
      <c r="C8" s="111" t="s">
        <v>14</v>
      </c>
      <c r="D8" s="111" t="s">
        <v>15</v>
      </c>
      <c r="E8" s="111" t="s">
        <v>16</v>
      </c>
      <c r="F8" s="111" t="s">
        <v>17</v>
      </c>
      <c r="G8" s="111" t="s">
        <v>18</v>
      </c>
      <c r="H8" s="111"/>
      <c r="I8" s="111"/>
      <c r="J8" s="111" t="s">
        <v>19</v>
      </c>
    </row>
    <row r="9" spans="1:10" s="4" customFormat="1">
      <c r="A9" s="111"/>
      <c r="B9" s="111"/>
      <c r="C9" s="111"/>
      <c r="D9" s="111"/>
      <c r="E9" s="111"/>
      <c r="F9" s="111"/>
      <c r="G9" s="111" t="s">
        <v>20</v>
      </c>
      <c r="H9" s="111"/>
      <c r="I9" s="111"/>
      <c r="J9" s="111"/>
    </row>
    <row r="10" spans="1:10" s="4" customFormat="1">
      <c r="A10" s="111"/>
      <c r="B10" s="111"/>
      <c r="C10" s="111"/>
      <c r="D10" s="111"/>
      <c r="E10" s="111"/>
      <c r="F10" s="111"/>
      <c r="G10" s="25" t="s">
        <v>21</v>
      </c>
      <c r="H10" s="26" t="s">
        <v>22</v>
      </c>
      <c r="I10" s="24" t="s">
        <v>23</v>
      </c>
      <c r="J10" s="111"/>
    </row>
    <row r="11" spans="1:10" s="4" customFormat="1">
      <c r="A11" s="105" t="s">
        <v>654</v>
      </c>
      <c r="B11" s="105"/>
      <c r="C11" s="105"/>
      <c r="D11" s="105"/>
      <c r="E11" s="105"/>
      <c r="F11" s="105"/>
      <c r="G11" s="105"/>
      <c r="H11" s="110"/>
      <c r="I11" s="110"/>
      <c r="J11" s="110"/>
    </row>
    <row r="12" spans="1:10" s="4" customFormat="1" ht="50.4">
      <c r="A12" s="22" t="s">
        <v>587</v>
      </c>
      <c r="B12" s="22" t="s">
        <v>588</v>
      </c>
      <c r="C12" s="22" t="s">
        <v>644</v>
      </c>
      <c r="D12" s="22" t="s">
        <v>645</v>
      </c>
      <c r="E12" s="22" t="s">
        <v>650</v>
      </c>
      <c r="F12" s="22" t="s">
        <v>650</v>
      </c>
      <c r="G12" s="21" t="s">
        <v>24</v>
      </c>
      <c r="H12" s="19">
        <v>46130</v>
      </c>
      <c r="I12" s="19" t="s">
        <v>1128</v>
      </c>
      <c r="J12" s="20"/>
    </row>
    <row r="13" spans="1:10" s="4" customFormat="1" ht="33.6">
      <c r="A13" s="22" t="s">
        <v>589</v>
      </c>
      <c r="B13" s="22" t="s">
        <v>590</v>
      </c>
      <c r="C13" s="22" t="s">
        <v>591</v>
      </c>
      <c r="D13" s="22" t="s">
        <v>592</v>
      </c>
      <c r="E13" s="22" t="s">
        <v>656</v>
      </c>
      <c r="F13" s="22" t="s">
        <v>656</v>
      </c>
      <c r="G13" s="21" t="s">
        <v>24</v>
      </c>
      <c r="H13" s="19">
        <v>46130</v>
      </c>
      <c r="I13" s="19" t="s">
        <v>1128</v>
      </c>
      <c r="J13" s="20"/>
    </row>
    <row r="14" spans="1:10" s="4" customFormat="1" ht="33.6">
      <c r="A14" s="22" t="s">
        <v>593</v>
      </c>
      <c r="B14" s="22" t="s">
        <v>594</v>
      </c>
      <c r="C14" s="22" t="s">
        <v>595</v>
      </c>
      <c r="D14" s="22" t="s">
        <v>596</v>
      </c>
      <c r="E14" s="22" t="s">
        <v>657</v>
      </c>
      <c r="F14" s="22" t="s">
        <v>657</v>
      </c>
      <c r="G14" s="21" t="s">
        <v>24</v>
      </c>
      <c r="H14" s="19">
        <v>46130</v>
      </c>
      <c r="I14" s="19" t="s">
        <v>1128</v>
      </c>
      <c r="J14" s="20"/>
    </row>
    <row r="15" spans="1:10" s="4" customFormat="1" ht="50.4">
      <c r="A15" s="22" t="s">
        <v>597</v>
      </c>
      <c r="B15" s="22" t="s">
        <v>598</v>
      </c>
      <c r="C15" s="22" t="s">
        <v>646</v>
      </c>
      <c r="D15" s="22" t="s">
        <v>647</v>
      </c>
      <c r="E15" s="22" t="s">
        <v>651</v>
      </c>
      <c r="F15" s="22" t="s">
        <v>651</v>
      </c>
      <c r="G15" s="21" t="s">
        <v>24</v>
      </c>
      <c r="H15" s="19">
        <v>46130</v>
      </c>
      <c r="I15" s="19" t="s">
        <v>1128</v>
      </c>
      <c r="J15" s="20"/>
    </row>
    <row r="16" spans="1:10" s="4" customFormat="1" ht="33.6">
      <c r="A16" s="22" t="s">
        <v>599</v>
      </c>
      <c r="B16" s="22" t="s">
        <v>600</v>
      </c>
      <c r="C16" s="22" t="s">
        <v>648</v>
      </c>
      <c r="D16" s="22"/>
      <c r="E16" s="22" t="s">
        <v>649</v>
      </c>
      <c r="F16" s="22" t="s">
        <v>649</v>
      </c>
      <c r="G16" s="21" t="s">
        <v>24</v>
      </c>
      <c r="H16" s="19">
        <v>46130</v>
      </c>
      <c r="I16" s="19" t="s">
        <v>1128</v>
      </c>
      <c r="J16" s="20"/>
    </row>
    <row r="17" spans="1:10" s="4" customFormat="1" ht="33.6">
      <c r="A17" s="22" t="s">
        <v>267</v>
      </c>
      <c r="B17" s="22" t="s">
        <v>268</v>
      </c>
      <c r="C17" s="22" t="s">
        <v>320</v>
      </c>
      <c r="D17" s="22" t="s">
        <v>269</v>
      </c>
      <c r="E17" s="22" t="s">
        <v>327</v>
      </c>
      <c r="F17" s="22" t="s">
        <v>327</v>
      </c>
      <c r="G17" s="21" t="s">
        <v>24</v>
      </c>
      <c r="H17" s="19">
        <v>46130</v>
      </c>
      <c r="I17" s="19" t="s">
        <v>1128</v>
      </c>
      <c r="J17" s="20"/>
    </row>
    <row r="18" spans="1:10" s="4" customFormat="1" ht="67.2">
      <c r="A18" s="22" t="s">
        <v>270</v>
      </c>
      <c r="B18" s="22" t="s">
        <v>271</v>
      </c>
      <c r="C18" s="22" t="s">
        <v>272</v>
      </c>
      <c r="D18" s="22" t="s">
        <v>273</v>
      </c>
      <c r="E18" s="22" t="s">
        <v>274</v>
      </c>
      <c r="F18" s="22" t="s">
        <v>274</v>
      </c>
      <c r="G18" s="21" t="s">
        <v>24</v>
      </c>
      <c r="H18" s="19">
        <v>46130</v>
      </c>
      <c r="I18" s="19" t="s">
        <v>1128</v>
      </c>
      <c r="J18" s="20"/>
    </row>
    <row r="19" spans="1:10" s="4" customFormat="1">
      <c r="A19" s="107" t="s">
        <v>653</v>
      </c>
      <c r="B19" s="107"/>
      <c r="C19" s="107"/>
      <c r="D19" s="107"/>
      <c r="E19" s="107"/>
      <c r="F19" s="107"/>
      <c r="G19" s="108"/>
      <c r="H19" s="109"/>
      <c r="I19" s="109"/>
      <c r="J19" s="109"/>
    </row>
    <row r="20" spans="1:10" s="4" customFormat="1" ht="67.2">
      <c r="A20" s="22" t="s">
        <v>601</v>
      </c>
      <c r="B20" s="22" t="s">
        <v>602</v>
      </c>
      <c r="C20" s="22" t="s">
        <v>658</v>
      </c>
      <c r="D20" s="22" t="s">
        <v>526</v>
      </c>
      <c r="E20" s="22" t="s">
        <v>659</v>
      </c>
      <c r="F20" s="22" t="s">
        <v>659</v>
      </c>
      <c r="G20" s="21" t="s">
        <v>24</v>
      </c>
      <c r="H20" s="19">
        <v>46130</v>
      </c>
      <c r="I20" s="19" t="s">
        <v>1128</v>
      </c>
      <c r="J20" s="20"/>
    </row>
    <row r="21" spans="1:10" s="4" customFormat="1" ht="50.4">
      <c r="A21" s="22" t="s">
        <v>603</v>
      </c>
      <c r="B21" s="22" t="s">
        <v>604</v>
      </c>
      <c r="C21" s="22" t="s">
        <v>660</v>
      </c>
      <c r="D21" s="22" t="s">
        <v>526</v>
      </c>
      <c r="E21" s="22" t="s">
        <v>661</v>
      </c>
      <c r="F21" s="22" t="s">
        <v>661</v>
      </c>
      <c r="G21" s="21" t="s">
        <v>24</v>
      </c>
      <c r="H21" s="19">
        <v>46130</v>
      </c>
      <c r="I21" s="19" t="s">
        <v>1128</v>
      </c>
      <c r="J21" s="20"/>
    </row>
    <row r="22" spans="1:10" s="4" customFormat="1" ht="50.4">
      <c r="A22" s="22" t="s">
        <v>605</v>
      </c>
      <c r="B22" s="22" t="s">
        <v>606</v>
      </c>
      <c r="C22" s="22" t="s">
        <v>607</v>
      </c>
      <c r="D22" s="22" t="s">
        <v>608</v>
      </c>
      <c r="E22" s="22" t="s">
        <v>609</v>
      </c>
      <c r="F22" s="22" t="s">
        <v>609</v>
      </c>
      <c r="G22" s="21" t="s">
        <v>24</v>
      </c>
      <c r="H22" s="19">
        <v>46130</v>
      </c>
      <c r="I22" s="19" t="s">
        <v>1128</v>
      </c>
      <c r="J22" s="20"/>
    </row>
    <row r="23" spans="1:10" s="4" customFormat="1" ht="33.6">
      <c r="A23" s="22" t="s">
        <v>610</v>
      </c>
      <c r="B23" s="22" t="s">
        <v>611</v>
      </c>
      <c r="C23" s="22" t="s">
        <v>612</v>
      </c>
      <c r="D23" s="22" t="s">
        <v>613</v>
      </c>
      <c r="E23" s="22" t="s">
        <v>614</v>
      </c>
      <c r="F23" s="22" t="s">
        <v>614</v>
      </c>
      <c r="G23" s="21" t="s">
        <v>24</v>
      </c>
      <c r="H23" s="19">
        <v>46130</v>
      </c>
      <c r="I23" s="19" t="s">
        <v>1128</v>
      </c>
      <c r="J23" s="20"/>
    </row>
    <row r="24" spans="1:10" s="4" customFormat="1" ht="50.4">
      <c r="A24" s="22" t="s">
        <v>615</v>
      </c>
      <c r="B24" s="22" t="s">
        <v>634</v>
      </c>
      <c r="C24" s="22" t="s">
        <v>635</v>
      </c>
      <c r="D24" s="22"/>
      <c r="E24" s="22" t="s">
        <v>636</v>
      </c>
      <c r="F24" s="22" t="s">
        <v>636</v>
      </c>
      <c r="G24" s="21" t="s">
        <v>24</v>
      </c>
      <c r="H24" s="19">
        <v>46130</v>
      </c>
      <c r="I24" s="19" t="s">
        <v>1128</v>
      </c>
      <c r="J24" s="20"/>
    </row>
    <row r="25" spans="1:10" s="4" customFormat="1" ht="84" customHeight="1">
      <c r="A25" s="22" t="s">
        <v>616</v>
      </c>
      <c r="B25" s="22" t="s">
        <v>617</v>
      </c>
      <c r="C25" s="22" t="s">
        <v>637</v>
      </c>
      <c r="D25" s="22"/>
      <c r="E25" s="22" t="s">
        <v>638</v>
      </c>
      <c r="F25" s="22" t="s">
        <v>638</v>
      </c>
      <c r="G25" s="21" t="s">
        <v>24</v>
      </c>
      <c r="H25" s="19">
        <v>46130</v>
      </c>
      <c r="I25" s="19" t="s">
        <v>1128</v>
      </c>
      <c r="J25" s="20"/>
    </row>
    <row r="26" spans="1:10" s="4" customFormat="1" ht="67.2">
      <c r="A26" s="22" t="s">
        <v>618</v>
      </c>
      <c r="B26" s="22" t="s">
        <v>619</v>
      </c>
      <c r="C26" s="22" t="s">
        <v>639</v>
      </c>
      <c r="D26" s="22"/>
      <c r="E26" s="22" t="s">
        <v>662</v>
      </c>
      <c r="F26" s="22" t="s">
        <v>662</v>
      </c>
      <c r="G26" s="21" t="s">
        <v>24</v>
      </c>
      <c r="H26" s="19">
        <v>46130</v>
      </c>
      <c r="I26" s="19" t="s">
        <v>1128</v>
      </c>
      <c r="J26" s="20"/>
    </row>
    <row r="27" spans="1:10" s="4" customFormat="1" ht="67.2">
      <c r="A27" s="22" t="s">
        <v>620</v>
      </c>
      <c r="B27" s="22" t="s">
        <v>621</v>
      </c>
      <c r="C27" s="22" t="s">
        <v>640</v>
      </c>
      <c r="D27" s="22" t="s">
        <v>622</v>
      </c>
      <c r="E27" s="22" t="s">
        <v>663</v>
      </c>
      <c r="F27" s="22" t="s">
        <v>663</v>
      </c>
      <c r="G27" s="21" t="s">
        <v>24</v>
      </c>
      <c r="H27" s="19">
        <v>46130</v>
      </c>
      <c r="I27" s="19" t="s">
        <v>1128</v>
      </c>
      <c r="J27" s="20"/>
    </row>
    <row r="28" spans="1:10" s="4" customFormat="1" ht="100.8">
      <c r="A28" s="22" t="s">
        <v>623</v>
      </c>
      <c r="B28" s="22" t="s">
        <v>529</v>
      </c>
      <c r="C28" s="22" t="s">
        <v>641</v>
      </c>
      <c r="D28" s="22" t="s">
        <v>624</v>
      </c>
      <c r="E28" s="22" t="s">
        <v>664</v>
      </c>
      <c r="F28" s="22" t="s">
        <v>664</v>
      </c>
      <c r="G28" s="21" t="s">
        <v>24</v>
      </c>
      <c r="H28" s="19">
        <v>46130</v>
      </c>
      <c r="I28" s="19" t="s">
        <v>1128</v>
      </c>
      <c r="J28" s="20"/>
    </row>
    <row r="29" spans="1:10" ht="67.2">
      <c r="A29" s="22" t="s">
        <v>625</v>
      </c>
      <c r="B29" s="22" t="s">
        <v>626</v>
      </c>
      <c r="C29" s="22" t="s">
        <v>642</v>
      </c>
      <c r="D29" s="22" t="s">
        <v>627</v>
      </c>
      <c r="E29" s="22" t="s">
        <v>665</v>
      </c>
      <c r="F29" s="22" t="s">
        <v>665</v>
      </c>
      <c r="G29" s="21" t="s">
        <v>24</v>
      </c>
      <c r="H29" s="19">
        <v>46130</v>
      </c>
      <c r="I29" s="19" t="s">
        <v>1128</v>
      </c>
      <c r="J29" s="20"/>
    </row>
    <row r="30" spans="1:10" ht="67.2">
      <c r="A30" s="22" t="s">
        <v>628</v>
      </c>
      <c r="B30" s="22" t="s">
        <v>629</v>
      </c>
      <c r="C30" s="22" t="s">
        <v>630</v>
      </c>
      <c r="D30" s="22"/>
      <c r="E30" s="22" t="s">
        <v>643</v>
      </c>
      <c r="F30" s="22" t="s">
        <v>643</v>
      </c>
      <c r="G30" s="21" t="s">
        <v>24</v>
      </c>
      <c r="H30" s="19">
        <v>46130</v>
      </c>
      <c r="I30" s="19" t="s">
        <v>1128</v>
      </c>
      <c r="J30" s="20"/>
    </row>
    <row r="31" spans="1:10" ht="50.4">
      <c r="A31" s="22" t="s">
        <v>631</v>
      </c>
      <c r="B31" s="22" t="s">
        <v>632</v>
      </c>
      <c r="C31" s="22" t="s">
        <v>652</v>
      </c>
      <c r="D31" s="22" t="s">
        <v>633</v>
      </c>
      <c r="E31" s="22" t="s">
        <v>666</v>
      </c>
      <c r="F31" s="22" t="s">
        <v>666</v>
      </c>
      <c r="G31" s="21" t="s">
        <v>24</v>
      </c>
      <c r="H31" s="19">
        <v>46130</v>
      </c>
      <c r="I31" s="19" t="s">
        <v>1128</v>
      </c>
      <c r="J31" s="20"/>
    </row>
  </sheetData>
  <mergeCells count="13">
    <mergeCell ref="B1:F1"/>
    <mergeCell ref="B2:F2"/>
    <mergeCell ref="A8:A10"/>
    <mergeCell ref="B8:B10"/>
    <mergeCell ref="C8:C10"/>
    <mergeCell ref="D8:D10"/>
    <mergeCell ref="E8:E10"/>
    <mergeCell ref="F8:F10"/>
    <mergeCell ref="G8:I8"/>
    <mergeCell ref="J8:J10"/>
    <mergeCell ref="G9:I9"/>
    <mergeCell ref="A11:J11"/>
    <mergeCell ref="A19:J19"/>
  </mergeCells>
  <conditionalFormatting sqref="G12:G18 G20:G31">
    <cfRule type="containsText" dxfId="11" priority="1" operator="containsText" text="Hoàn thành">
      <formula>NOT(ISERROR(SEARCH("Hoàn thành",G12)))</formula>
    </cfRule>
    <cfRule type="containsText" dxfId="10" priority="2" operator="containsText" text="Lỗi">
      <formula>NOT(ISERROR(SEARCH("Lỗi",G12)))</formula>
    </cfRule>
    <cfRule type="containsText" dxfId="9" priority="3" operator="containsText" text="Hoàn thành">
      <formula>NOT(ISERROR(SEARCH("Hoàn thành",G12)))</formula>
    </cfRule>
    <cfRule type="containsText" dxfId="8" priority="4" operator="containsText" text="Hoàn thành">
      <formula>NOT(ISERROR(SEARCH("Hoàn thành",G12)))</formula>
    </cfRule>
  </conditionalFormatting>
  <dataValidations count="1">
    <dataValidation type="list" allowBlank="1" showInputMessage="1" showErrorMessage="1" sqref="G12:G18 G20:G31" xr:uid="{C1A54223-A20B-4639-8B78-5FA9EF291C15}">
      <formula1>"Pass, Fail, Chưa kiểm tra, Bị chặn"</formula1>
    </dataValidation>
  </dataValidation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F20C34-6F70-466C-B376-656B4A7172C4}">
  <sheetPr>
    <tabColor rgb="FFFF0000"/>
  </sheetPr>
  <dimension ref="A1:J34"/>
  <sheetViews>
    <sheetView topLeftCell="C14" workbookViewId="0">
      <selection activeCell="H23" sqref="H23"/>
    </sheetView>
  </sheetViews>
  <sheetFormatPr defaultColWidth="9.109375" defaultRowHeight="16.8"/>
  <cols>
    <col min="1" max="1" width="21.33203125" style="15" bestFit="1" customWidth="1"/>
    <col min="2" max="2" width="47.33203125" style="15" customWidth="1"/>
    <col min="3" max="3" width="34.33203125" style="15" bestFit="1" customWidth="1"/>
    <col min="4" max="4" width="29" style="15" bestFit="1" customWidth="1"/>
    <col min="5" max="5" width="40" style="15" bestFit="1" customWidth="1"/>
    <col min="6" max="6" width="46" style="15" bestFit="1" customWidth="1"/>
    <col min="7" max="7" width="16" style="15" bestFit="1" customWidth="1"/>
    <col min="8" max="8" width="21.5546875" style="15" bestFit="1" customWidth="1"/>
    <col min="9" max="9" width="22.6640625" style="15" bestFit="1" customWidth="1"/>
    <col min="10" max="10" width="16" style="15" bestFit="1" customWidth="1"/>
    <col min="11" max="16384" width="9.109375" style="15"/>
  </cols>
  <sheetData>
    <row r="1" spans="1:10" s="4" customFormat="1">
      <c r="A1" s="1" t="s">
        <v>4</v>
      </c>
      <c r="B1" s="102" t="s">
        <v>1</v>
      </c>
      <c r="C1" s="102"/>
      <c r="D1" s="102"/>
      <c r="E1" s="102"/>
      <c r="F1" s="102"/>
      <c r="G1" s="2"/>
      <c r="H1" s="3"/>
    </row>
    <row r="2" spans="1:10" s="4" customFormat="1">
      <c r="A2" s="1" t="s">
        <v>5</v>
      </c>
      <c r="B2" s="103" t="s">
        <v>118</v>
      </c>
      <c r="C2" s="103"/>
      <c r="D2" s="103"/>
      <c r="E2" s="103"/>
      <c r="F2" s="103"/>
      <c r="G2" s="2"/>
      <c r="H2" s="3"/>
    </row>
    <row r="3" spans="1:10" s="4" customFormat="1">
      <c r="A3" s="5"/>
      <c r="B3" s="6" t="s">
        <v>6</v>
      </c>
      <c r="C3" s="6" t="s">
        <v>7</v>
      </c>
      <c r="D3" s="6" t="s">
        <v>8</v>
      </c>
      <c r="E3" s="6" t="s">
        <v>9</v>
      </c>
      <c r="F3" s="6" t="s">
        <v>10</v>
      </c>
      <c r="G3" s="2"/>
      <c r="H3" s="3"/>
    </row>
    <row r="4" spans="1:10" s="4" customFormat="1">
      <c r="A4" s="7" t="s">
        <v>11</v>
      </c>
      <c r="B4" s="8">
        <v>18</v>
      </c>
      <c r="C4" s="8">
        <v>0</v>
      </c>
      <c r="D4" s="5">
        <v>0</v>
      </c>
      <c r="E4" s="9">
        <v>0</v>
      </c>
      <c r="F4" s="5">
        <f>SUM(B4:E4)</f>
        <v>18</v>
      </c>
      <c r="G4" s="2"/>
      <c r="H4" s="3"/>
    </row>
    <row r="5" spans="1:10" s="4" customFormat="1">
      <c r="A5" s="7" t="s">
        <v>12</v>
      </c>
      <c r="B5" s="8">
        <v>18</v>
      </c>
      <c r="C5" s="8">
        <v>0</v>
      </c>
      <c r="D5" s="5">
        <v>0</v>
      </c>
      <c r="E5" s="9">
        <v>0</v>
      </c>
      <c r="F5" s="5">
        <f>SUM(B5:E5)</f>
        <v>18</v>
      </c>
      <c r="G5" s="2"/>
      <c r="H5" s="3"/>
    </row>
    <row r="6" spans="1:10" s="4" customFormat="1">
      <c r="A6" s="10"/>
      <c r="B6" s="11"/>
      <c r="E6" s="12"/>
      <c r="G6" s="2"/>
      <c r="H6" s="3"/>
    </row>
    <row r="7" spans="1:10" s="4" customFormat="1">
      <c r="A7" s="10"/>
      <c r="B7" s="11"/>
      <c r="E7" s="12"/>
      <c r="G7" s="2"/>
      <c r="H7" s="3"/>
    </row>
    <row r="8" spans="1:10" s="4" customFormat="1">
      <c r="A8" s="104" t="s">
        <v>13</v>
      </c>
      <c r="B8" s="104" t="s">
        <v>3</v>
      </c>
      <c r="C8" s="104" t="s">
        <v>14</v>
      </c>
      <c r="D8" s="104" t="s">
        <v>15</v>
      </c>
      <c r="E8" s="104" t="s">
        <v>16</v>
      </c>
      <c r="F8" s="104" t="s">
        <v>17</v>
      </c>
      <c r="G8" s="104" t="s">
        <v>18</v>
      </c>
      <c r="H8" s="104"/>
      <c r="I8" s="104"/>
      <c r="J8" s="104" t="s">
        <v>19</v>
      </c>
    </row>
    <row r="9" spans="1:10" s="4" customFormat="1">
      <c r="A9" s="104"/>
      <c r="B9" s="104"/>
      <c r="C9" s="104"/>
      <c r="D9" s="104"/>
      <c r="E9" s="104"/>
      <c r="F9" s="104"/>
      <c r="G9" s="104" t="s">
        <v>20</v>
      </c>
      <c r="H9" s="104"/>
      <c r="I9" s="104"/>
      <c r="J9" s="104"/>
    </row>
    <row r="10" spans="1:10" s="4" customFormat="1">
      <c r="A10" s="104"/>
      <c r="B10" s="104"/>
      <c r="C10" s="104"/>
      <c r="D10" s="104"/>
      <c r="E10" s="104"/>
      <c r="F10" s="104"/>
      <c r="G10" s="13" t="s">
        <v>21</v>
      </c>
      <c r="H10" s="14" t="s">
        <v>22</v>
      </c>
      <c r="I10" s="6" t="s">
        <v>23</v>
      </c>
      <c r="J10" s="104"/>
    </row>
    <row r="11" spans="1:10" s="4" customFormat="1">
      <c r="A11" s="105" t="s">
        <v>116</v>
      </c>
      <c r="B11" s="105"/>
      <c r="C11" s="105"/>
      <c r="D11" s="105"/>
      <c r="E11" s="105"/>
      <c r="F11" s="105"/>
      <c r="G11" s="105"/>
      <c r="H11" s="110"/>
      <c r="I11" s="110"/>
      <c r="J11" s="110"/>
    </row>
    <row r="12" spans="1:10" s="4" customFormat="1" ht="50.4">
      <c r="A12" s="22" t="s">
        <v>41</v>
      </c>
      <c r="B12" s="22" t="s">
        <v>42</v>
      </c>
      <c r="C12" s="22" t="s">
        <v>43</v>
      </c>
      <c r="D12" s="22"/>
      <c r="E12" s="22" t="s">
        <v>97</v>
      </c>
      <c r="F12" s="22" t="s">
        <v>97</v>
      </c>
      <c r="G12" s="21" t="s">
        <v>24</v>
      </c>
      <c r="H12" s="19">
        <v>46130</v>
      </c>
      <c r="I12" s="19" t="s">
        <v>1126</v>
      </c>
      <c r="J12" s="20"/>
    </row>
    <row r="13" spans="1:10" s="4" customFormat="1" ht="33.6">
      <c r="A13" s="112" t="s">
        <v>44</v>
      </c>
      <c r="B13" s="112" t="s">
        <v>45</v>
      </c>
      <c r="C13" s="112" t="s">
        <v>46</v>
      </c>
      <c r="D13" s="112"/>
      <c r="E13" s="22" t="s">
        <v>47</v>
      </c>
      <c r="F13" s="22" t="s">
        <v>47</v>
      </c>
      <c r="G13" s="21" t="s">
        <v>24</v>
      </c>
      <c r="H13" s="19">
        <v>46130</v>
      </c>
      <c r="I13" s="19" t="s">
        <v>1126</v>
      </c>
      <c r="J13" s="20"/>
    </row>
    <row r="14" spans="1:10" s="4" customFormat="1">
      <c r="A14" s="112"/>
      <c r="B14" s="112"/>
      <c r="C14" s="112"/>
      <c r="D14" s="112"/>
      <c r="E14" s="22" t="s">
        <v>104</v>
      </c>
      <c r="F14" s="22" t="s">
        <v>104</v>
      </c>
      <c r="G14" s="21" t="s">
        <v>24</v>
      </c>
      <c r="H14" s="19">
        <v>46130</v>
      </c>
      <c r="I14" s="19" t="s">
        <v>1126</v>
      </c>
      <c r="J14" s="20"/>
    </row>
    <row r="15" spans="1:10" s="4" customFormat="1">
      <c r="A15" s="112"/>
      <c r="B15" s="112"/>
      <c r="C15" s="112"/>
      <c r="D15" s="112"/>
      <c r="E15" s="22" t="s">
        <v>48</v>
      </c>
      <c r="F15" s="22" t="s">
        <v>48</v>
      </c>
      <c r="G15" s="21" t="s">
        <v>24</v>
      </c>
      <c r="H15" s="19">
        <v>46130</v>
      </c>
      <c r="I15" s="19" t="s">
        <v>1126</v>
      </c>
      <c r="J15" s="20"/>
    </row>
    <row r="16" spans="1:10" s="4" customFormat="1">
      <c r="A16" s="112"/>
      <c r="B16" s="112"/>
      <c r="C16" s="112"/>
      <c r="D16" s="112"/>
      <c r="E16" s="22" t="s">
        <v>105</v>
      </c>
      <c r="F16" s="22" t="s">
        <v>105</v>
      </c>
      <c r="G16" s="21" t="s">
        <v>24</v>
      </c>
      <c r="H16" s="19">
        <v>46130</v>
      </c>
      <c r="I16" s="19" t="s">
        <v>1126</v>
      </c>
      <c r="J16" s="20"/>
    </row>
    <row r="17" spans="1:10" s="4" customFormat="1">
      <c r="A17" s="112"/>
      <c r="B17" s="112"/>
      <c r="C17" s="112"/>
      <c r="D17" s="112"/>
      <c r="E17" s="22" t="s">
        <v>106</v>
      </c>
      <c r="F17" s="22" t="s">
        <v>106</v>
      </c>
      <c r="G17" s="21" t="s">
        <v>24</v>
      </c>
      <c r="H17" s="19">
        <v>46130</v>
      </c>
      <c r="I17" s="19" t="s">
        <v>1126</v>
      </c>
      <c r="J17" s="20"/>
    </row>
    <row r="18" spans="1:10" s="4" customFormat="1" ht="50.4">
      <c r="A18" s="22" t="s">
        <v>49</v>
      </c>
      <c r="B18" s="22" t="s">
        <v>50</v>
      </c>
      <c r="C18" s="22" t="s">
        <v>51</v>
      </c>
      <c r="D18" s="22"/>
      <c r="E18" s="22" t="s">
        <v>52</v>
      </c>
      <c r="F18" s="22" t="s">
        <v>52</v>
      </c>
      <c r="G18" s="21" t="s">
        <v>24</v>
      </c>
      <c r="H18" s="19">
        <v>46130</v>
      </c>
      <c r="I18" s="19" t="s">
        <v>1126</v>
      </c>
      <c r="J18" s="20"/>
    </row>
    <row r="19" spans="1:10" s="4" customFormat="1" ht="50.4">
      <c r="A19" s="22" t="s">
        <v>53</v>
      </c>
      <c r="B19" s="22" t="s">
        <v>54</v>
      </c>
      <c r="C19" s="22" t="s">
        <v>55</v>
      </c>
      <c r="D19" s="22"/>
      <c r="E19" s="22" t="s">
        <v>98</v>
      </c>
      <c r="F19" s="22" t="s">
        <v>98</v>
      </c>
      <c r="G19" s="21" t="s">
        <v>24</v>
      </c>
      <c r="H19" s="19">
        <v>46130</v>
      </c>
      <c r="I19" s="19" t="s">
        <v>1126</v>
      </c>
      <c r="J19" s="20"/>
    </row>
    <row r="20" spans="1:10" s="4" customFormat="1" ht="33.6">
      <c r="A20" s="22" t="s">
        <v>56</v>
      </c>
      <c r="B20" s="22" t="s">
        <v>57</v>
      </c>
      <c r="C20" s="22" t="s">
        <v>58</v>
      </c>
      <c r="D20" s="22"/>
      <c r="E20" s="22" t="s">
        <v>59</v>
      </c>
      <c r="F20" s="22" t="s">
        <v>59</v>
      </c>
      <c r="G20" s="21" t="s">
        <v>24</v>
      </c>
      <c r="H20" s="19">
        <v>46130</v>
      </c>
      <c r="I20" s="19" t="s">
        <v>1126</v>
      </c>
      <c r="J20" s="20"/>
    </row>
    <row r="21" spans="1:10" s="4" customFormat="1" ht="33.6">
      <c r="A21" s="22" t="s">
        <v>60</v>
      </c>
      <c r="B21" s="22" t="s">
        <v>61</v>
      </c>
      <c r="C21" s="22" t="s">
        <v>62</v>
      </c>
      <c r="D21" s="22"/>
      <c r="E21" s="22" t="s">
        <v>99</v>
      </c>
      <c r="F21" s="22" t="s">
        <v>99</v>
      </c>
      <c r="G21" s="21" t="s">
        <v>24</v>
      </c>
      <c r="H21" s="19">
        <v>46130</v>
      </c>
      <c r="I21" s="19" t="s">
        <v>1126</v>
      </c>
      <c r="J21" s="20"/>
    </row>
    <row r="22" spans="1:10" s="4" customFormat="1">
      <c r="A22" s="107" t="s">
        <v>117</v>
      </c>
      <c r="B22" s="107"/>
      <c r="C22" s="107"/>
      <c r="D22" s="107"/>
      <c r="E22" s="107"/>
      <c r="F22" s="107"/>
      <c r="G22" s="108"/>
      <c r="H22" s="109"/>
      <c r="I22" s="109"/>
      <c r="J22" s="109"/>
    </row>
    <row r="23" spans="1:10" s="4" customFormat="1" ht="50.4">
      <c r="A23" s="22" t="s">
        <v>63</v>
      </c>
      <c r="B23" s="22" t="s">
        <v>64</v>
      </c>
      <c r="C23" s="22" t="s">
        <v>91</v>
      </c>
      <c r="D23" s="22"/>
      <c r="E23" s="22" t="s">
        <v>107</v>
      </c>
      <c r="F23" s="22" t="s">
        <v>107</v>
      </c>
      <c r="G23" s="21" t="s">
        <v>24</v>
      </c>
      <c r="H23" s="19">
        <v>46130</v>
      </c>
      <c r="I23" s="19" t="s">
        <v>1126</v>
      </c>
      <c r="J23" s="20"/>
    </row>
    <row r="24" spans="1:10" s="4" customFormat="1" ht="33.6">
      <c r="A24" s="22" t="s">
        <v>65</v>
      </c>
      <c r="B24" s="22" t="s">
        <v>66</v>
      </c>
      <c r="C24" s="22" t="s">
        <v>92</v>
      </c>
      <c r="D24" s="22"/>
      <c r="E24" s="22" t="s">
        <v>67</v>
      </c>
      <c r="F24" s="22" t="s">
        <v>67</v>
      </c>
      <c r="G24" s="21" t="s">
        <v>24</v>
      </c>
      <c r="H24" s="19">
        <v>46130</v>
      </c>
      <c r="I24" s="19" t="s">
        <v>1126</v>
      </c>
      <c r="J24" s="20"/>
    </row>
    <row r="25" spans="1:10" s="4" customFormat="1" ht="33.6">
      <c r="A25" s="22" t="s">
        <v>68</v>
      </c>
      <c r="B25" s="22" t="s">
        <v>69</v>
      </c>
      <c r="C25" s="22" t="s">
        <v>93</v>
      </c>
      <c r="D25" s="22"/>
      <c r="E25" s="22" t="s">
        <v>100</v>
      </c>
      <c r="F25" s="22" t="s">
        <v>100</v>
      </c>
      <c r="G25" s="21" t="s">
        <v>24</v>
      </c>
      <c r="H25" s="19">
        <v>46130</v>
      </c>
      <c r="I25" s="19" t="s">
        <v>1126</v>
      </c>
      <c r="J25" s="20"/>
    </row>
    <row r="26" spans="1:10" s="4" customFormat="1" ht="33.6">
      <c r="A26" s="22" t="s">
        <v>70</v>
      </c>
      <c r="B26" s="22" t="s">
        <v>71</v>
      </c>
      <c r="C26" s="22" t="s">
        <v>94</v>
      </c>
      <c r="D26" s="22"/>
      <c r="E26" s="22" t="s">
        <v>67</v>
      </c>
      <c r="F26" s="22" t="s">
        <v>67</v>
      </c>
      <c r="G26" s="21" t="s">
        <v>24</v>
      </c>
      <c r="H26" s="19">
        <v>46130</v>
      </c>
      <c r="I26" s="19" t="s">
        <v>1126</v>
      </c>
      <c r="J26" s="20"/>
    </row>
    <row r="27" spans="1:10" s="4" customFormat="1" ht="33.6">
      <c r="A27" s="22" t="s">
        <v>72</v>
      </c>
      <c r="B27" s="22" t="s">
        <v>73</v>
      </c>
      <c r="C27" s="22" t="s">
        <v>95</v>
      </c>
      <c r="D27" s="22"/>
      <c r="E27" s="22" t="s">
        <v>67</v>
      </c>
      <c r="F27" s="22" t="s">
        <v>67</v>
      </c>
      <c r="G27" s="21" t="s">
        <v>24</v>
      </c>
      <c r="H27" s="19">
        <v>46130</v>
      </c>
      <c r="I27" s="19" t="s">
        <v>1126</v>
      </c>
      <c r="J27" s="20"/>
    </row>
    <row r="28" spans="1:10" s="4" customFormat="1" ht="100.8">
      <c r="A28" s="22" t="s">
        <v>74</v>
      </c>
      <c r="B28" s="22" t="s">
        <v>75</v>
      </c>
      <c r="C28" s="22" t="s">
        <v>111</v>
      </c>
      <c r="D28" s="22"/>
      <c r="E28" s="22" t="s">
        <v>101</v>
      </c>
      <c r="F28" s="22" t="s">
        <v>101</v>
      </c>
      <c r="G28" s="21" t="s">
        <v>24</v>
      </c>
      <c r="H28" s="19">
        <v>46130</v>
      </c>
      <c r="I28" s="19" t="s">
        <v>1126</v>
      </c>
      <c r="J28" s="20"/>
    </row>
    <row r="29" spans="1:10" s="4" customFormat="1" ht="67.2">
      <c r="A29" s="22" t="s">
        <v>76</v>
      </c>
      <c r="B29" s="22" t="s">
        <v>77</v>
      </c>
      <c r="C29" s="22" t="s">
        <v>78</v>
      </c>
      <c r="D29" s="22" t="s">
        <v>79</v>
      </c>
      <c r="E29" s="22" t="s">
        <v>102</v>
      </c>
      <c r="F29" s="22" t="s">
        <v>102</v>
      </c>
      <c r="G29" s="21" t="s">
        <v>24</v>
      </c>
      <c r="H29" s="19">
        <v>46130</v>
      </c>
      <c r="I29" s="19" t="s">
        <v>1126</v>
      </c>
      <c r="J29" s="20"/>
    </row>
    <row r="30" spans="1:10" s="4" customFormat="1" ht="33.6">
      <c r="A30" s="22" t="s">
        <v>80</v>
      </c>
      <c r="B30" s="22" t="s">
        <v>81</v>
      </c>
      <c r="C30" s="22" t="s">
        <v>112</v>
      </c>
      <c r="D30" s="22"/>
      <c r="E30" s="22" t="s">
        <v>82</v>
      </c>
      <c r="F30" s="22" t="s">
        <v>82</v>
      </c>
      <c r="G30" s="21" t="s">
        <v>24</v>
      </c>
      <c r="H30" s="19">
        <v>46130</v>
      </c>
      <c r="I30" s="19" t="s">
        <v>1126</v>
      </c>
      <c r="J30" s="20"/>
    </row>
    <row r="31" spans="1:10" s="4" customFormat="1" ht="33.6">
      <c r="A31" s="22" t="s">
        <v>83</v>
      </c>
      <c r="B31" s="22" t="s">
        <v>84</v>
      </c>
      <c r="C31" s="22" t="s">
        <v>96</v>
      </c>
      <c r="D31" s="22"/>
      <c r="E31" s="22" t="s">
        <v>103</v>
      </c>
      <c r="F31" s="22" t="s">
        <v>103</v>
      </c>
      <c r="G31" s="21" t="s">
        <v>24</v>
      </c>
      <c r="H31" s="19">
        <v>46130</v>
      </c>
      <c r="I31" s="19" t="s">
        <v>1126</v>
      </c>
      <c r="J31" s="20"/>
    </row>
    <row r="32" spans="1:10" ht="33.6">
      <c r="A32" s="22" t="s">
        <v>113</v>
      </c>
      <c r="B32" s="22" t="s">
        <v>85</v>
      </c>
      <c r="C32" s="22" t="s">
        <v>88</v>
      </c>
      <c r="D32" s="22"/>
      <c r="E32" s="22" t="s">
        <v>108</v>
      </c>
      <c r="F32" s="22" t="s">
        <v>108</v>
      </c>
      <c r="G32" s="21" t="s">
        <v>24</v>
      </c>
      <c r="H32" s="19">
        <v>46130</v>
      </c>
      <c r="I32" s="19" t="s">
        <v>1126</v>
      </c>
      <c r="J32" s="20"/>
    </row>
    <row r="33" spans="1:10" ht="33.6">
      <c r="A33" s="22" t="s">
        <v>114</v>
      </c>
      <c r="B33" s="22" t="s">
        <v>86</v>
      </c>
      <c r="C33" s="22" t="s">
        <v>89</v>
      </c>
      <c r="D33" s="22"/>
      <c r="E33" s="22" t="s">
        <v>109</v>
      </c>
      <c r="F33" s="22" t="s">
        <v>109</v>
      </c>
      <c r="G33" s="21" t="s">
        <v>24</v>
      </c>
      <c r="H33" s="19">
        <v>46130</v>
      </c>
      <c r="I33" s="19" t="s">
        <v>1126</v>
      </c>
      <c r="J33" s="20"/>
    </row>
    <row r="34" spans="1:10" ht="33.6">
      <c r="A34" s="22" t="s">
        <v>115</v>
      </c>
      <c r="B34" s="22" t="s">
        <v>87</v>
      </c>
      <c r="C34" s="22" t="s">
        <v>90</v>
      </c>
      <c r="D34" s="22"/>
      <c r="E34" s="22" t="s">
        <v>110</v>
      </c>
      <c r="F34" s="22" t="s">
        <v>110</v>
      </c>
      <c r="G34" s="21" t="s">
        <v>24</v>
      </c>
      <c r="H34" s="19">
        <v>46130</v>
      </c>
      <c r="I34" s="19" t="s">
        <v>1126</v>
      </c>
      <c r="J34" s="20"/>
    </row>
  </sheetData>
  <mergeCells count="17">
    <mergeCell ref="B1:F1"/>
    <mergeCell ref="B2:F2"/>
    <mergeCell ref="A8:A10"/>
    <mergeCell ref="B8:B10"/>
    <mergeCell ref="C8:C10"/>
    <mergeCell ref="D8:D10"/>
    <mergeCell ref="E8:E10"/>
    <mergeCell ref="F8:F10"/>
    <mergeCell ref="G8:I8"/>
    <mergeCell ref="J8:J10"/>
    <mergeCell ref="G9:I9"/>
    <mergeCell ref="A11:J11"/>
    <mergeCell ref="A22:J22"/>
    <mergeCell ref="A13:A17"/>
    <mergeCell ref="B13:B17"/>
    <mergeCell ref="C13:C17"/>
    <mergeCell ref="D13:D17"/>
  </mergeCells>
  <phoneticPr fontId="9" type="noConversion"/>
  <conditionalFormatting sqref="G12:G21 G23:G34">
    <cfRule type="containsText" dxfId="7" priority="1" operator="containsText" text="Hoàn thành">
      <formula>NOT(ISERROR(SEARCH("Hoàn thành",G12)))</formula>
    </cfRule>
    <cfRule type="containsText" dxfId="6" priority="2" operator="containsText" text="Lỗi">
      <formula>NOT(ISERROR(SEARCH("Lỗi",G12)))</formula>
    </cfRule>
    <cfRule type="containsText" dxfId="5" priority="3" operator="containsText" text="Hoàn thành">
      <formula>NOT(ISERROR(SEARCH("Hoàn thành",G12)))</formula>
    </cfRule>
    <cfRule type="containsText" dxfId="4" priority="4" operator="containsText" text="Hoàn thành">
      <formula>NOT(ISERROR(SEARCH("Hoàn thành",G12)))</formula>
    </cfRule>
  </conditionalFormatting>
  <dataValidations count="1">
    <dataValidation type="list" allowBlank="1" showInputMessage="1" showErrorMessage="1" sqref="G12:G21 G23:G34" xr:uid="{DBC32A15-6CC8-4EA1-8C88-2DD2ABF708AE}">
      <formula1>"Pass, Fail, Chưa kiểm tra, Bị chặn"</formula1>
    </dataValidation>
  </dataValidation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8C2DE3-05F4-4D4A-89E8-1EDE26211053}">
  <sheetPr>
    <tabColor rgb="FFFF0000"/>
  </sheetPr>
  <dimension ref="A1:J45"/>
  <sheetViews>
    <sheetView topLeftCell="A16" zoomScale="63" workbookViewId="0">
      <selection activeCell="H25" sqref="H25"/>
    </sheetView>
  </sheetViews>
  <sheetFormatPr defaultColWidth="9.109375" defaultRowHeight="16.8"/>
  <cols>
    <col min="1" max="1" width="21.33203125" style="15" bestFit="1" customWidth="1"/>
    <col min="2" max="2" width="47.33203125" style="15" customWidth="1"/>
    <col min="3" max="3" width="34.33203125" style="15" bestFit="1" customWidth="1"/>
    <col min="4" max="4" width="29" style="15" bestFit="1" customWidth="1"/>
    <col min="5" max="5" width="40" style="15" bestFit="1" customWidth="1"/>
    <col min="6" max="6" width="46" style="15" bestFit="1" customWidth="1"/>
    <col min="7" max="7" width="16" style="15" bestFit="1" customWidth="1"/>
    <col min="8" max="8" width="21.5546875" style="15" bestFit="1" customWidth="1"/>
    <col min="9" max="9" width="22.6640625" style="15" bestFit="1" customWidth="1"/>
    <col min="10" max="10" width="16" style="15" bestFit="1" customWidth="1"/>
    <col min="11" max="16384" width="9.109375" style="15"/>
  </cols>
  <sheetData>
    <row r="1" spans="1:10" s="4" customFormat="1">
      <c r="A1" s="1" t="s">
        <v>4</v>
      </c>
      <c r="B1" s="102" t="s">
        <v>1</v>
      </c>
      <c r="C1" s="102"/>
      <c r="D1" s="102"/>
      <c r="E1" s="102"/>
      <c r="F1" s="102"/>
      <c r="G1" s="2"/>
      <c r="H1" s="3"/>
    </row>
    <row r="2" spans="1:10" s="4" customFormat="1">
      <c r="A2" s="1" t="s">
        <v>5</v>
      </c>
      <c r="B2" s="103" t="s">
        <v>668</v>
      </c>
      <c r="C2" s="103"/>
      <c r="D2" s="103"/>
      <c r="E2" s="103"/>
      <c r="F2" s="103"/>
      <c r="G2" s="2"/>
      <c r="H2" s="3"/>
    </row>
    <row r="3" spans="1:10" s="4" customFormat="1">
      <c r="A3" s="5"/>
      <c r="B3" s="6" t="s">
        <v>6</v>
      </c>
      <c r="C3" s="6" t="s">
        <v>7</v>
      </c>
      <c r="D3" s="6" t="s">
        <v>8</v>
      </c>
      <c r="E3" s="6" t="s">
        <v>9</v>
      </c>
      <c r="F3" s="6" t="s">
        <v>10</v>
      </c>
      <c r="G3" s="2"/>
      <c r="H3" s="3"/>
    </row>
    <row r="4" spans="1:10" s="4" customFormat="1">
      <c r="A4" s="7" t="s">
        <v>11</v>
      </c>
      <c r="B4" s="8">
        <v>22</v>
      </c>
      <c r="C4" s="8">
        <v>0</v>
      </c>
      <c r="D4" s="5">
        <v>0</v>
      </c>
      <c r="E4" s="9">
        <v>0</v>
      </c>
      <c r="F4" s="5">
        <f>SUM(B4:E4)</f>
        <v>22</v>
      </c>
      <c r="G4" s="2"/>
      <c r="H4" s="3"/>
    </row>
    <row r="5" spans="1:10" s="4" customFormat="1">
      <c r="A5" s="7" t="s">
        <v>12</v>
      </c>
      <c r="B5" s="8">
        <v>22</v>
      </c>
      <c r="C5" s="8">
        <v>0</v>
      </c>
      <c r="D5" s="5">
        <v>0</v>
      </c>
      <c r="E5" s="9">
        <v>0</v>
      </c>
      <c r="F5" s="5">
        <f>SUM(B5:E5)</f>
        <v>22</v>
      </c>
      <c r="G5" s="2"/>
      <c r="H5" s="3"/>
    </row>
    <row r="6" spans="1:10" s="4" customFormat="1">
      <c r="A6" s="10"/>
      <c r="B6" s="11"/>
      <c r="E6" s="12"/>
      <c r="G6" s="2"/>
      <c r="H6" s="3"/>
    </row>
    <row r="7" spans="1:10" s="4" customFormat="1">
      <c r="A7" s="10"/>
      <c r="B7" s="11"/>
      <c r="E7" s="12"/>
      <c r="G7" s="2"/>
      <c r="H7" s="3"/>
    </row>
    <row r="8" spans="1:10" s="4" customFormat="1">
      <c r="A8" s="104" t="s">
        <v>13</v>
      </c>
      <c r="B8" s="104" t="s">
        <v>3</v>
      </c>
      <c r="C8" s="104" t="s">
        <v>14</v>
      </c>
      <c r="D8" s="104" t="s">
        <v>15</v>
      </c>
      <c r="E8" s="104" t="s">
        <v>16</v>
      </c>
      <c r="F8" s="104" t="s">
        <v>17</v>
      </c>
      <c r="G8" s="104" t="s">
        <v>18</v>
      </c>
      <c r="H8" s="104"/>
      <c r="I8" s="104"/>
      <c r="J8" s="104" t="s">
        <v>19</v>
      </c>
    </row>
    <row r="9" spans="1:10" s="4" customFormat="1">
      <c r="A9" s="104"/>
      <c r="B9" s="104"/>
      <c r="C9" s="104"/>
      <c r="D9" s="104"/>
      <c r="E9" s="104"/>
      <c r="F9" s="104"/>
      <c r="G9" s="104" t="s">
        <v>20</v>
      </c>
      <c r="H9" s="104"/>
      <c r="I9" s="104"/>
      <c r="J9" s="104"/>
    </row>
    <row r="10" spans="1:10" s="4" customFormat="1">
      <c r="A10" s="104"/>
      <c r="B10" s="104"/>
      <c r="C10" s="104"/>
      <c r="D10" s="104"/>
      <c r="E10" s="104"/>
      <c r="F10" s="104"/>
      <c r="G10" s="13" t="s">
        <v>21</v>
      </c>
      <c r="H10" s="14" t="s">
        <v>22</v>
      </c>
      <c r="I10" s="6" t="s">
        <v>23</v>
      </c>
      <c r="J10" s="104"/>
    </row>
    <row r="11" spans="1:10" s="4" customFormat="1">
      <c r="A11" s="105" t="s">
        <v>1099</v>
      </c>
      <c r="B11" s="105"/>
      <c r="C11" s="105"/>
      <c r="D11" s="105"/>
      <c r="E11" s="105"/>
      <c r="F11" s="105"/>
      <c r="G11" s="105"/>
      <c r="H11" s="110"/>
      <c r="I11" s="110"/>
      <c r="J11" s="110"/>
    </row>
    <row r="12" spans="1:10" s="4" customFormat="1" ht="50.4">
      <c r="A12" s="22" t="s">
        <v>119</v>
      </c>
      <c r="B12" s="22" t="s">
        <v>120</v>
      </c>
      <c r="C12" s="22" t="s">
        <v>43</v>
      </c>
      <c r="D12" s="22"/>
      <c r="E12" s="22" t="s">
        <v>225</v>
      </c>
      <c r="F12" s="22" t="s">
        <v>225</v>
      </c>
      <c r="G12" s="21" t="s">
        <v>24</v>
      </c>
      <c r="H12" s="19">
        <v>46130</v>
      </c>
      <c r="I12" s="19" t="s">
        <v>1128</v>
      </c>
      <c r="J12" s="20"/>
    </row>
    <row r="13" spans="1:10" s="4" customFormat="1" ht="50.4">
      <c r="A13" s="22" t="s">
        <v>121</v>
      </c>
      <c r="B13" s="22" t="s">
        <v>122</v>
      </c>
      <c r="C13" s="22" t="s">
        <v>123</v>
      </c>
      <c r="D13" s="22"/>
      <c r="E13" s="22" t="s">
        <v>215</v>
      </c>
      <c r="F13" s="22" t="s">
        <v>215</v>
      </c>
      <c r="G13" s="21" t="s">
        <v>24</v>
      </c>
      <c r="H13" s="19">
        <v>46130</v>
      </c>
      <c r="I13" s="19" t="s">
        <v>1128</v>
      </c>
      <c r="J13" s="20"/>
    </row>
    <row r="14" spans="1:10" s="4" customFormat="1" ht="50.4">
      <c r="A14" s="22" t="s">
        <v>124</v>
      </c>
      <c r="B14" s="22" t="s">
        <v>125</v>
      </c>
      <c r="C14" s="22" t="s">
        <v>126</v>
      </c>
      <c r="D14" s="22"/>
      <c r="E14" s="22" t="s">
        <v>226</v>
      </c>
      <c r="F14" s="22" t="s">
        <v>226</v>
      </c>
      <c r="G14" s="21" t="s">
        <v>24</v>
      </c>
      <c r="H14" s="19">
        <v>46130</v>
      </c>
      <c r="I14" s="19" t="s">
        <v>1128</v>
      </c>
      <c r="J14" s="20"/>
    </row>
    <row r="15" spans="1:10" s="4" customFormat="1" ht="50.4">
      <c r="A15" s="22" t="s">
        <v>127</v>
      </c>
      <c r="B15" s="22" t="s">
        <v>128</v>
      </c>
      <c r="C15" s="22" t="s">
        <v>129</v>
      </c>
      <c r="D15" s="22"/>
      <c r="E15" s="22" t="s">
        <v>216</v>
      </c>
      <c r="F15" s="22" t="s">
        <v>216</v>
      </c>
      <c r="G15" s="21" t="s">
        <v>24</v>
      </c>
      <c r="H15" s="19">
        <v>46130</v>
      </c>
      <c r="I15" s="19" t="s">
        <v>1128</v>
      </c>
      <c r="J15" s="20"/>
    </row>
    <row r="16" spans="1:10" s="4" customFormat="1" ht="33.6">
      <c r="A16" s="22" t="s">
        <v>130</v>
      </c>
      <c r="B16" s="22" t="s">
        <v>131</v>
      </c>
      <c r="C16" s="22" t="s">
        <v>132</v>
      </c>
      <c r="D16" s="22"/>
      <c r="E16" s="22" t="s">
        <v>217</v>
      </c>
      <c r="F16" s="22" t="s">
        <v>217</v>
      </c>
      <c r="G16" s="21" t="s">
        <v>24</v>
      </c>
      <c r="H16" s="19">
        <v>46130</v>
      </c>
      <c r="I16" s="19" t="s">
        <v>1128</v>
      </c>
      <c r="J16" s="20"/>
    </row>
    <row r="17" spans="1:10" s="4" customFormat="1" ht="67.2">
      <c r="A17" s="22" t="s">
        <v>133</v>
      </c>
      <c r="B17" s="22" t="s">
        <v>134</v>
      </c>
      <c r="C17" s="22" t="s">
        <v>135</v>
      </c>
      <c r="D17" s="22"/>
      <c r="E17" s="22" t="s">
        <v>242</v>
      </c>
      <c r="F17" s="22" t="s">
        <v>242</v>
      </c>
      <c r="G17" s="21" t="s">
        <v>24</v>
      </c>
      <c r="H17" s="19">
        <v>46130</v>
      </c>
      <c r="I17" s="19" t="s">
        <v>1128</v>
      </c>
      <c r="J17" s="20"/>
    </row>
    <row r="18" spans="1:10" s="4" customFormat="1" ht="33.6">
      <c r="A18" s="22" t="s">
        <v>136</v>
      </c>
      <c r="B18" s="22" t="s">
        <v>137</v>
      </c>
      <c r="C18" s="22" t="s">
        <v>138</v>
      </c>
      <c r="D18" s="22"/>
      <c r="E18" s="22" t="s">
        <v>218</v>
      </c>
      <c r="F18" s="22" t="s">
        <v>218</v>
      </c>
      <c r="G18" s="21" t="s">
        <v>24</v>
      </c>
      <c r="H18" s="19">
        <v>46130</v>
      </c>
      <c r="I18" s="19" t="s">
        <v>1128</v>
      </c>
      <c r="J18" s="20"/>
    </row>
    <row r="19" spans="1:10" s="4" customFormat="1" ht="33.6">
      <c r="A19" s="22" t="s">
        <v>139</v>
      </c>
      <c r="B19" s="22" t="s">
        <v>140</v>
      </c>
      <c r="C19" s="22" t="s">
        <v>141</v>
      </c>
      <c r="D19" s="22"/>
      <c r="E19" s="22" t="s">
        <v>227</v>
      </c>
      <c r="F19" s="22" t="s">
        <v>227</v>
      </c>
      <c r="G19" s="21" t="s">
        <v>24</v>
      </c>
      <c r="H19" s="19">
        <v>46130</v>
      </c>
      <c r="I19" s="19" t="s">
        <v>1128</v>
      </c>
      <c r="J19" s="20"/>
    </row>
    <row r="20" spans="1:10" s="4" customFormat="1" ht="33.6">
      <c r="A20" s="22" t="s">
        <v>142</v>
      </c>
      <c r="B20" s="22" t="s">
        <v>143</v>
      </c>
      <c r="C20" s="22" t="s">
        <v>144</v>
      </c>
      <c r="D20" s="22"/>
      <c r="E20" s="22" t="s">
        <v>214</v>
      </c>
      <c r="F20" s="22" t="s">
        <v>214</v>
      </c>
      <c r="G20" s="21" t="s">
        <v>24</v>
      </c>
      <c r="H20" s="19">
        <v>46130</v>
      </c>
      <c r="I20" s="19" t="s">
        <v>1128</v>
      </c>
      <c r="J20" s="20"/>
    </row>
    <row r="21" spans="1:10" s="4" customFormat="1" ht="84">
      <c r="A21" s="22" t="s">
        <v>145</v>
      </c>
      <c r="B21" s="22" t="s">
        <v>146</v>
      </c>
      <c r="C21" s="22" t="s">
        <v>219</v>
      </c>
      <c r="D21" s="22"/>
      <c r="E21" s="22" t="s">
        <v>237</v>
      </c>
      <c r="F21" s="22" t="s">
        <v>237</v>
      </c>
      <c r="G21" s="21" t="s">
        <v>24</v>
      </c>
      <c r="H21" s="19">
        <v>46130</v>
      </c>
      <c r="I21" s="19" t="s">
        <v>1128</v>
      </c>
      <c r="J21" s="20"/>
    </row>
    <row r="22" spans="1:10" s="4" customFormat="1" ht="50.4">
      <c r="A22" s="22" t="s">
        <v>147</v>
      </c>
      <c r="B22" s="22" t="s">
        <v>148</v>
      </c>
      <c r="C22" s="22" t="s">
        <v>228</v>
      </c>
      <c r="D22" s="22" t="s">
        <v>149</v>
      </c>
      <c r="E22" s="22" t="s">
        <v>229</v>
      </c>
      <c r="F22" s="22" t="s">
        <v>229</v>
      </c>
      <c r="G22" s="21" t="s">
        <v>24</v>
      </c>
      <c r="H22" s="19">
        <v>46130</v>
      </c>
      <c r="I22" s="19" t="s">
        <v>1128</v>
      </c>
      <c r="J22" s="20"/>
    </row>
    <row r="23" spans="1:10" s="4" customFormat="1" ht="50.4">
      <c r="A23" s="22" t="s">
        <v>150</v>
      </c>
      <c r="B23" s="22" t="s">
        <v>151</v>
      </c>
      <c r="C23" s="22" t="s">
        <v>230</v>
      </c>
      <c r="D23" s="22" t="s">
        <v>152</v>
      </c>
      <c r="E23" s="22" t="s">
        <v>231</v>
      </c>
      <c r="F23" s="22" t="s">
        <v>231</v>
      </c>
      <c r="G23" s="21" t="s">
        <v>24</v>
      </c>
      <c r="H23" s="19">
        <v>46130</v>
      </c>
      <c r="I23" s="19" t="s">
        <v>1128</v>
      </c>
      <c r="J23" s="20"/>
    </row>
    <row r="24" spans="1:10" s="4" customFormat="1">
      <c r="A24" s="107" t="s">
        <v>1100</v>
      </c>
      <c r="B24" s="107"/>
      <c r="C24" s="107"/>
      <c r="D24" s="107"/>
      <c r="E24" s="107"/>
      <c r="F24" s="107"/>
      <c r="G24" s="108"/>
      <c r="H24" s="109"/>
      <c r="I24" s="109"/>
      <c r="J24" s="109"/>
    </row>
    <row r="25" spans="1:10" s="4" customFormat="1" ht="50.4">
      <c r="A25" s="22" t="s">
        <v>153</v>
      </c>
      <c r="B25" s="22" t="s">
        <v>154</v>
      </c>
      <c r="C25" s="22" t="s">
        <v>155</v>
      </c>
      <c r="D25" s="22" t="s">
        <v>156</v>
      </c>
      <c r="E25" s="22" t="s">
        <v>157</v>
      </c>
      <c r="F25" s="22" t="s">
        <v>157</v>
      </c>
      <c r="G25" s="21" t="s">
        <v>24</v>
      </c>
      <c r="H25" s="19">
        <v>46130</v>
      </c>
      <c r="I25" s="19" t="s">
        <v>1128</v>
      </c>
      <c r="J25" s="20"/>
    </row>
    <row r="26" spans="1:10" s="4" customFormat="1" ht="33.6">
      <c r="A26" s="22" t="s">
        <v>158</v>
      </c>
      <c r="B26" s="22" t="s">
        <v>159</v>
      </c>
      <c r="C26" s="22" t="s">
        <v>220</v>
      </c>
      <c r="D26" s="22"/>
      <c r="E26" s="22" t="s">
        <v>160</v>
      </c>
      <c r="F26" s="22" t="s">
        <v>160</v>
      </c>
      <c r="G26" s="21" t="s">
        <v>24</v>
      </c>
      <c r="H26" s="19">
        <v>46130</v>
      </c>
      <c r="I26" s="19" t="s">
        <v>1128</v>
      </c>
      <c r="J26" s="20"/>
    </row>
    <row r="27" spans="1:10" s="4" customFormat="1" ht="33.6">
      <c r="A27" s="22" t="s">
        <v>161</v>
      </c>
      <c r="B27" s="22" t="s">
        <v>162</v>
      </c>
      <c r="C27" s="22" t="s">
        <v>232</v>
      </c>
      <c r="D27" s="22"/>
      <c r="E27" s="22" t="s">
        <v>221</v>
      </c>
      <c r="F27" s="22" t="s">
        <v>221</v>
      </c>
      <c r="G27" s="21" t="s">
        <v>24</v>
      </c>
      <c r="H27" s="19">
        <v>46130</v>
      </c>
      <c r="I27" s="19" t="s">
        <v>1128</v>
      </c>
      <c r="J27" s="20"/>
    </row>
    <row r="28" spans="1:10" s="4" customFormat="1" ht="33.6">
      <c r="A28" s="22" t="s">
        <v>163</v>
      </c>
      <c r="B28" s="22" t="s">
        <v>164</v>
      </c>
      <c r="C28" s="22" t="s">
        <v>165</v>
      </c>
      <c r="D28" s="22"/>
      <c r="E28" s="22" t="s">
        <v>166</v>
      </c>
      <c r="F28" s="22" t="s">
        <v>166</v>
      </c>
      <c r="G28" s="21" t="s">
        <v>24</v>
      </c>
      <c r="H28" s="19">
        <v>46130</v>
      </c>
      <c r="I28" s="19" t="s">
        <v>1128</v>
      </c>
      <c r="J28" s="20"/>
    </row>
    <row r="29" spans="1:10" s="4" customFormat="1">
      <c r="A29" s="22" t="s">
        <v>167</v>
      </c>
      <c r="B29" s="22" t="s">
        <v>168</v>
      </c>
      <c r="C29" s="22" t="s">
        <v>169</v>
      </c>
      <c r="D29" s="22"/>
      <c r="E29" s="22" t="s">
        <v>170</v>
      </c>
      <c r="F29" s="22" t="s">
        <v>170</v>
      </c>
      <c r="G29" s="21" t="s">
        <v>24</v>
      </c>
      <c r="H29" s="19">
        <v>46130</v>
      </c>
      <c r="I29" s="19" t="s">
        <v>1128</v>
      </c>
      <c r="J29" s="20"/>
    </row>
    <row r="30" spans="1:10" s="4" customFormat="1" ht="33.6">
      <c r="A30" s="22" t="s">
        <v>171</v>
      </c>
      <c r="B30" s="22" t="s">
        <v>172</v>
      </c>
      <c r="C30" s="22" t="s">
        <v>173</v>
      </c>
      <c r="D30" s="22"/>
      <c r="E30" s="22" t="s">
        <v>174</v>
      </c>
      <c r="F30" s="22" t="s">
        <v>174</v>
      </c>
      <c r="G30" s="21" t="s">
        <v>24</v>
      </c>
      <c r="H30" s="19">
        <v>46130</v>
      </c>
      <c r="I30" s="19" t="s">
        <v>1128</v>
      </c>
      <c r="J30" s="20"/>
    </row>
    <row r="31" spans="1:10" s="4" customFormat="1" ht="33.6">
      <c r="A31" s="22" t="s">
        <v>175</v>
      </c>
      <c r="B31" s="22" t="s">
        <v>176</v>
      </c>
      <c r="C31" s="22" t="s">
        <v>233</v>
      </c>
      <c r="D31" s="22"/>
      <c r="E31" s="22" t="s">
        <v>234</v>
      </c>
      <c r="F31" s="22" t="s">
        <v>234</v>
      </c>
      <c r="G31" s="21" t="s">
        <v>24</v>
      </c>
      <c r="H31" s="19">
        <v>46130</v>
      </c>
      <c r="I31" s="19" t="s">
        <v>1128</v>
      </c>
      <c r="J31" s="20"/>
    </row>
    <row r="32" spans="1:10" s="4" customFormat="1" ht="33.6">
      <c r="A32" s="22" t="s">
        <v>177</v>
      </c>
      <c r="B32" s="22" t="s">
        <v>178</v>
      </c>
      <c r="C32" s="22" t="s">
        <v>222</v>
      </c>
      <c r="D32" s="22"/>
      <c r="E32" s="22" t="s">
        <v>179</v>
      </c>
      <c r="F32" s="22" t="s">
        <v>179</v>
      </c>
      <c r="G32" s="21" t="s">
        <v>24</v>
      </c>
      <c r="H32" s="19">
        <v>46130</v>
      </c>
      <c r="I32" s="19" t="s">
        <v>1128</v>
      </c>
      <c r="J32" s="20"/>
    </row>
    <row r="33" spans="1:10" s="4" customFormat="1">
      <c r="A33" s="22" t="s">
        <v>180</v>
      </c>
      <c r="B33" s="22" t="s">
        <v>181</v>
      </c>
      <c r="C33" s="22" t="s">
        <v>182</v>
      </c>
      <c r="D33" s="22"/>
      <c r="E33" s="22" t="s">
        <v>183</v>
      </c>
      <c r="F33" s="22" t="s">
        <v>183</v>
      </c>
      <c r="G33" s="21" t="s">
        <v>24</v>
      </c>
      <c r="H33" s="19">
        <v>46130</v>
      </c>
      <c r="I33" s="19" t="s">
        <v>1128</v>
      </c>
      <c r="J33" s="20"/>
    </row>
    <row r="34" spans="1:10" ht="50.4">
      <c r="A34" s="22" t="s">
        <v>184</v>
      </c>
      <c r="B34" s="22" t="s">
        <v>185</v>
      </c>
      <c r="C34" s="22" t="s">
        <v>238</v>
      </c>
      <c r="D34" s="22"/>
      <c r="E34" s="22" t="s">
        <v>186</v>
      </c>
      <c r="F34" s="22" t="s">
        <v>186</v>
      </c>
      <c r="G34" s="21" t="s">
        <v>24</v>
      </c>
      <c r="H34" s="19">
        <v>46130</v>
      </c>
      <c r="I34" s="19" t="s">
        <v>1128</v>
      </c>
      <c r="J34" s="20"/>
    </row>
    <row r="35" spans="1:10" ht="84">
      <c r="A35" s="22" t="s">
        <v>187</v>
      </c>
      <c r="B35" s="22" t="s">
        <v>188</v>
      </c>
      <c r="C35" s="22" t="s">
        <v>239</v>
      </c>
      <c r="D35" s="22" t="s">
        <v>149</v>
      </c>
      <c r="E35" s="22" t="s">
        <v>235</v>
      </c>
      <c r="F35" s="22" t="s">
        <v>235</v>
      </c>
      <c r="G35" s="21" t="s">
        <v>24</v>
      </c>
      <c r="H35" s="19">
        <v>46130</v>
      </c>
      <c r="I35" s="19" t="s">
        <v>1128</v>
      </c>
      <c r="J35" s="20"/>
    </row>
    <row r="36" spans="1:10" ht="67.2">
      <c r="A36" s="22" t="s">
        <v>189</v>
      </c>
      <c r="B36" s="22" t="s">
        <v>190</v>
      </c>
      <c r="C36" s="22" t="s">
        <v>191</v>
      </c>
      <c r="D36" s="22" t="s">
        <v>79</v>
      </c>
      <c r="E36" s="22" t="s">
        <v>236</v>
      </c>
      <c r="F36" s="22" t="s">
        <v>236</v>
      </c>
      <c r="G36" s="21" t="s">
        <v>24</v>
      </c>
      <c r="H36" s="19">
        <v>46130</v>
      </c>
      <c r="I36" s="19" t="s">
        <v>1128</v>
      </c>
      <c r="J36" s="20"/>
    </row>
    <row r="37" spans="1:10" ht="33.6">
      <c r="A37" s="22" t="s">
        <v>192</v>
      </c>
      <c r="B37" s="22" t="s">
        <v>193</v>
      </c>
      <c r="C37" s="22" t="s">
        <v>194</v>
      </c>
      <c r="D37" s="22"/>
      <c r="E37" s="22" t="s">
        <v>195</v>
      </c>
      <c r="F37" s="22" t="s">
        <v>195</v>
      </c>
      <c r="G37" s="21" t="s">
        <v>24</v>
      </c>
      <c r="H37" s="19">
        <v>46130</v>
      </c>
      <c r="I37" s="19" t="s">
        <v>1128</v>
      </c>
      <c r="J37" s="20"/>
    </row>
    <row r="38" spans="1:10" ht="33.6">
      <c r="A38" s="22" t="s">
        <v>196</v>
      </c>
      <c r="B38" s="22" t="s">
        <v>197</v>
      </c>
      <c r="C38" s="22" t="s">
        <v>223</v>
      </c>
      <c r="D38" s="22"/>
      <c r="E38" s="22" t="s">
        <v>243</v>
      </c>
      <c r="F38" s="22" t="s">
        <v>243</v>
      </c>
      <c r="G38" s="21" t="s">
        <v>24</v>
      </c>
      <c r="H38" s="19">
        <v>46130</v>
      </c>
      <c r="I38" s="19" t="s">
        <v>1128</v>
      </c>
      <c r="J38" s="20"/>
    </row>
    <row r="39" spans="1:10" ht="33.6">
      <c r="A39" s="22" t="s">
        <v>198</v>
      </c>
      <c r="B39" s="22" t="s">
        <v>199</v>
      </c>
      <c r="C39" s="22" t="s">
        <v>240</v>
      </c>
      <c r="D39" s="22"/>
      <c r="E39" s="22" t="s">
        <v>200</v>
      </c>
      <c r="F39" s="22" t="s">
        <v>200</v>
      </c>
      <c r="G39" s="21" t="s">
        <v>24</v>
      </c>
      <c r="H39" s="19">
        <v>46130</v>
      </c>
      <c r="I39" s="19" t="s">
        <v>1128</v>
      </c>
      <c r="J39" s="20"/>
    </row>
    <row r="40" spans="1:10" ht="33.6">
      <c r="A40" s="22" t="s">
        <v>201</v>
      </c>
      <c r="B40" s="22" t="s">
        <v>202</v>
      </c>
      <c r="C40" s="22" t="s">
        <v>241</v>
      </c>
      <c r="D40" s="22"/>
      <c r="E40" s="22" t="s">
        <v>203</v>
      </c>
      <c r="F40" s="22" t="s">
        <v>203</v>
      </c>
      <c r="G40" s="21" t="s">
        <v>24</v>
      </c>
      <c r="H40" s="19">
        <v>46130</v>
      </c>
      <c r="I40" s="19" t="s">
        <v>1128</v>
      </c>
      <c r="J40" s="20"/>
    </row>
    <row r="41" spans="1:10" ht="33.6">
      <c r="A41" s="22" t="s">
        <v>247</v>
      </c>
      <c r="B41" s="22" t="s">
        <v>204</v>
      </c>
      <c r="C41" s="22" t="s">
        <v>209</v>
      </c>
      <c r="D41" s="22"/>
      <c r="E41" s="22" t="s">
        <v>224</v>
      </c>
      <c r="F41" s="22" t="s">
        <v>224</v>
      </c>
      <c r="G41" s="21" t="s">
        <v>24</v>
      </c>
      <c r="H41" s="19">
        <v>46130</v>
      </c>
      <c r="I41" s="19" t="s">
        <v>1128</v>
      </c>
      <c r="J41" s="20"/>
    </row>
    <row r="42" spans="1:10" ht="50.4">
      <c r="A42" s="22" t="s">
        <v>248</v>
      </c>
      <c r="B42" s="22" t="s">
        <v>205</v>
      </c>
      <c r="C42" s="22" t="s">
        <v>210</v>
      </c>
      <c r="D42" s="22" t="s">
        <v>156</v>
      </c>
      <c r="E42" s="22" t="s">
        <v>244</v>
      </c>
      <c r="F42" s="22" t="s">
        <v>244</v>
      </c>
      <c r="G42" s="21" t="s">
        <v>24</v>
      </c>
      <c r="H42" s="19">
        <v>46130</v>
      </c>
      <c r="I42" s="19" t="s">
        <v>1128</v>
      </c>
      <c r="J42" s="20"/>
    </row>
    <row r="43" spans="1:10" ht="50.4">
      <c r="A43" s="22" t="s">
        <v>249</v>
      </c>
      <c r="B43" s="22" t="s">
        <v>206</v>
      </c>
      <c r="C43" s="22" t="s">
        <v>211</v>
      </c>
      <c r="D43" s="22" t="s">
        <v>156</v>
      </c>
      <c r="E43" s="22" t="s">
        <v>245</v>
      </c>
      <c r="F43" s="22" t="s">
        <v>245</v>
      </c>
      <c r="G43" s="21" t="s">
        <v>24</v>
      </c>
      <c r="H43" s="19">
        <v>46130</v>
      </c>
      <c r="I43" s="19" t="s">
        <v>1128</v>
      </c>
      <c r="J43" s="20"/>
    </row>
    <row r="44" spans="1:10" ht="50.4">
      <c r="A44" s="22" t="s">
        <v>250</v>
      </c>
      <c r="B44" s="22" t="s">
        <v>207</v>
      </c>
      <c r="C44" s="22" t="s">
        <v>212</v>
      </c>
      <c r="D44" s="22" t="s">
        <v>156</v>
      </c>
      <c r="E44" s="22" t="s">
        <v>246</v>
      </c>
      <c r="F44" s="22" t="s">
        <v>246</v>
      </c>
      <c r="G44" s="21" t="s">
        <v>24</v>
      </c>
      <c r="H44" s="19">
        <v>46130</v>
      </c>
      <c r="I44" s="19" t="s">
        <v>1128</v>
      </c>
      <c r="J44" s="20"/>
    </row>
    <row r="45" spans="1:10" ht="50.4">
      <c r="A45" s="22" t="s">
        <v>251</v>
      </c>
      <c r="B45" s="22" t="s">
        <v>208</v>
      </c>
      <c r="C45" s="22" t="s">
        <v>213</v>
      </c>
      <c r="D45" s="22" t="s">
        <v>156</v>
      </c>
      <c r="E45" s="22" t="s">
        <v>246</v>
      </c>
      <c r="F45" s="22" t="s">
        <v>246</v>
      </c>
      <c r="G45" s="21" t="s">
        <v>24</v>
      </c>
      <c r="H45" s="19">
        <v>46130</v>
      </c>
      <c r="I45" s="19" t="s">
        <v>1128</v>
      </c>
      <c r="J45" s="20"/>
    </row>
  </sheetData>
  <mergeCells count="13">
    <mergeCell ref="B1:F1"/>
    <mergeCell ref="B2:F2"/>
    <mergeCell ref="A8:A10"/>
    <mergeCell ref="B8:B10"/>
    <mergeCell ref="C8:C10"/>
    <mergeCell ref="D8:D10"/>
    <mergeCell ref="E8:E10"/>
    <mergeCell ref="F8:F10"/>
    <mergeCell ref="G8:I8"/>
    <mergeCell ref="J8:J10"/>
    <mergeCell ref="G9:I9"/>
    <mergeCell ref="A11:J11"/>
    <mergeCell ref="A24:J24"/>
  </mergeCells>
  <phoneticPr fontId="9" type="noConversion"/>
  <conditionalFormatting sqref="G12:G23 G25:G45">
    <cfRule type="containsText" dxfId="3" priority="1" operator="containsText" text="Hoàn thành">
      <formula>NOT(ISERROR(SEARCH("Hoàn thành",G12)))</formula>
    </cfRule>
    <cfRule type="containsText" dxfId="2" priority="2" operator="containsText" text="Lỗi">
      <formula>NOT(ISERROR(SEARCH("Lỗi",G12)))</formula>
    </cfRule>
    <cfRule type="containsText" dxfId="1" priority="3" operator="containsText" text="Hoàn thành">
      <formula>NOT(ISERROR(SEARCH("Hoàn thành",G12)))</formula>
    </cfRule>
    <cfRule type="containsText" dxfId="0" priority="4" operator="containsText" text="Hoàn thành">
      <formula>NOT(ISERROR(SEARCH("Hoàn thành",G12)))</formula>
    </cfRule>
  </conditionalFormatting>
  <dataValidations count="1">
    <dataValidation type="list" allowBlank="1" showInputMessage="1" showErrorMessage="1" sqref="G12:G23 G25:G45" xr:uid="{F0D3A260-5EEA-4A7D-903B-F6F6635F0987}">
      <formula1>"Pass, Fail, Chưa kiểm tra, Bị chặn"</formula1>
    </dataValidation>
  </dataValidation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092752-72D7-4390-97A4-6E69B22C193B}">
  <sheetPr>
    <tabColor theme="4"/>
  </sheetPr>
  <dimension ref="A1:J45"/>
  <sheetViews>
    <sheetView topLeftCell="D1" workbookViewId="0">
      <selection activeCell="E37" sqref="E37"/>
    </sheetView>
  </sheetViews>
  <sheetFormatPr defaultColWidth="9.109375" defaultRowHeight="16.8"/>
  <cols>
    <col min="1" max="1" width="21.33203125" style="15" bestFit="1" customWidth="1"/>
    <col min="2" max="2" width="47.33203125" style="15" customWidth="1"/>
    <col min="3" max="3" width="34.33203125" style="15" bestFit="1" customWidth="1"/>
    <col min="4" max="4" width="29" style="15" bestFit="1" customWidth="1"/>
    <col min="5" max="5" width="40" style="15" bestFit="1" customWidth="1"/>
    <col min="6" max="6" width="46" style="15" bestFit="1" customWidth="1"/>
    <col min="7" max="7" width="16" style="15" bestFit="1" customWidth="1"/>
    <col min="8" max="8" width="21.5546875" style="15" bestFit="1" customWidth="1"/>
    <col min="9" max="9" width="22.6640625" style="15" bestFit="1" customWidth="1"/>
    <col min="10" max="10" width="16" style="15" bestFit="1" customWidth="1"/>
    <col min="11" max="16384" width="9.109375" style="15"/>
  </cols>
  <sheetData>
    <row r="1" spans="1:10" s="4" customFormat="1">
      <c r="A1" s="1" t="s">
        <v>4</v>
      </c>
      <c r="B1" s="102" t="s">
        <v>1</v>
      </c>
      <c r="C1" s="102"/>
      <c r="D1" s="102"/>
      <c r="E1" s="102"/>
      <c r="F1" s="102"/>
      <c r="G1" s="2"/>
      <c r="H1" s="3"/>
    </row>
    <row r="2" spans="1:10" s="4" customFormat="1">
      <c r="A2" s="1" t="s">
        <v>5</v>
      </c>
      <c r="B2" s="103" t="s">
        <v>669</v>
      </c>
      <c r="C2" s="103"/>
      <c r="D2" s="103"/>
      <c r="E2" s="103"/>
      <c r="F2" s="103"/>
      <c r="G2" s="2"/>
      <c r="H2" s="3"/>
    </row>
    <row r="3" spans="1:10" s="4" customFormat="1">
      <c r="A3" s="5"/>
      <c r="B3" s="6" t="s">
        <v>6</v>
      </c>
      <c r="C3" s="6" t="s">
        <v>7</v>
      </c>
      <c r="D3" s="6" t="s">
        <v>8</v>
      </c>
      <c r="E3" s="6" t="s">
        <v>9</v>
      </c>
      <c r="F3" s="6" t="s">
        <v>10</v>
      </c>
      <c r="G3" s="2"/>
      <c r="H3" s="3"/>
    </row>
    <row r="4" spans="1:10" s="4" customFormat="1">
      <c r="A4" s="7" t="s">
        <v>11</v>
      </c>
      <c r="B4" s="8">
        <v>22</v>
      </c>
      <c r="C4" s="8">
        <v>0</v>
      </c>
      <c r="D4" s="5">
        <v>0</v>
      </c>
      <c r="E4" s="9">
        <v>0</v>
      </c>
      <c r="F4" s="5">
        <f>SUM(B4:E4)</f>
        <v>22</v>
      </c>
      <c r="G4" s="2"/>
      <c r="H4" s="3"/>
    </row>
    <row r="5" spans="1:10" s="4" customFormat="1">
      <c r="A5" s="7" t="s">
        <v>12</v>
      </c>
      <c r="B5" s="8">
        <v>22</v>
      </c>
      <c r="C5" s="8">
        <v>0</v>
      </c>
      <c r="D5" s="5">
        <v>0</v>
      </c>
      <c r="E5" s="9">
        <v>0</v>
      </c>
      <c r="F5" s="5">
        <f>SUM(B5:E5)</f>
        <v>22</v>
      </c>
      <c r="G5" s="2"/>
      <c r="H5" s="3"/>
    </row>
    <row r="6" spans="1:10" s="4" customFormat="1">
      <c r="A6" s="10"/>
      <c r="B6" s="11"/>
      <c r="E6" s="12"/>
      <c r="G6" s="2"/>
      <c r="H6" s="3"/>
    </row>
    <row r="7" spans="1:10" s="4" customFormat="1">
      <c r="A7" s="10"/>
      <c r="B7" s="11"/>
      <c r="E7" s="12"/>
      <c r="G7" s="2"/>
      <c r="H7" s="3"/>
    </row>
    <row r="8" spans="1:10" s="4" customFormat="1">
      <c r="A8" s="104" t="s">
        <v>13</v>
      </c>
      <c r="B8" s="104" t="s">
        <v>3</v>
      </c>
      <c r="C8" s="104" t="s">
        <v>14</v>
      </c>
      <c r="D8" s="104" t="s">
        <v>15</v>
      </c>
      <c r="E8" s="104" t="s">
        <v>16</v>
      </c>
      <c r="F8" s="104" t="s">
        <v>17</v>
      </c>
      <c r="G8" s="104" t="s">
        <v>18</v>
      </c>
      <c r="H8" s="104"/>
      <c r="I8" s="104"/>
      <c r="J8" s="104" t="s">
        <v>19</v>
      </c>
    </row>
    <row r="9" spans="1:10" s="4" customFormat="1">
      <c r="A9" s="104"/>
      <c r="B9" s="104"/>
      <c r="C9" s="104"/>
      <c r="D9" s="104"/>
      <c r="E9" s="104"/>
      <c r="F9" s="104"/>
      <c r="G9" s="104" t="s">
        <v>20</v>
      </c>
      <c r="H9" s="104"/>
      <c r="I9" s="104"/>
      <c r="J9" s="104"/>
    </row>
    <row r="10" spans="1:10" s="4" customFormat="1">
      <c r="A10" s="104"/>
      <c r="B10" s="104"/>
      <c r="C10" s="104"/>
      <c r="D10" s="104"/>
      <c r="E10" s="104"/>
      <c r="F10" s="104"/>
      <c r="G10" s="13" t="s">
        <v>21</v>
      </c>
      <c r="H10" s="14" t="s">
        <v>22</v>
      </c>
      <c r="I10" s="6" t="s">
        <v>23</v>
      </c>
      <c r="J10" s="104"/>
    </row>
    <row r="11" spans="1:10" s="4" customFormat="1">
      <c r="A11" s="105" t="s">
        <v>1101</v>
      </c>
      <c r="B11" s="105"/>
      <c r="C11" s="105"/>
      <c r="D11" s="105"/>
      <c r="E11" s="105"/>
      <c r="F11" s="105"/>
      <c r="G11" s="105"/>
      <c r="H11" s="110"/>
      <c r="I11" s="110"/>
      <c r="J11" s="110"/>
    </row>
    <row r="12" spans="1:10" s="4" customFormat="1">
      <c r="A12" s="22"/>
      <c r="B12" s="22"/>
      <c r="C12" s="22"/>
      <c r="D12" s="22"/>
      <c r="E12" s="22"/>
      <c r="F12" s="22"/>
      <c r="G12" s="22"/>
      <c r="H12" s="19"/>
      <c r="I12" s="19"/>
      <c r="J12" s="20"/>
    </row>
    <row r="13" spans="1:10" s="4" customFormat="1">
      <c r="A13" s="22"/>
      <c r="B13" s="22"/>
      <c r="C13" s="22"/>
      <c r="D13" s="22"/>
      <c r="E13" s="22"/>
      <c r="F13" s="22"/>
      <c r="G13" s="22"/>
      <c r="H13" s="19"/>
      <c r="I13" s="19"/>
      <c r="J13" s="20"/>
    </row>
    <row r="14" spans="1:10" s="4" customFormat="1">
      <c r="A14" s="22"/>
      <c r="B14" s="22"/>
      <c r="C14" s="22"/>
      <c r="D14" s="22"/>
      <c r="E14" s="22"/>
      <c r="F14" s="22"/>
      <c r="G14" s="22"/>
      <c r="H14" s="19"/>
      <c r="I14" s="19"/>
      <c r="J14" s="20"/>
    </row>
    <row r="15" spans="1:10" s="4" customFormat="1">
      <c r="A15" s="22"/>
      <c r="B15" s="22"/>
      <c r="C15" s="22"/>
      <c r="D15" s="22"/>
      <c r="E15" s="22"/>
      <c r="F15" s="22"/>
      <c r="G15" s="22"/>
      <c r="H15" s="19"/>
      <c r="I15" s="19"/>
      <c r="J15" s="20"/>
    </row>
    <row r="16" spans="1:10" s="4" customFormat="1">
      <c r="A16" s="22"/>
      <c r="B16" s="22"/>
      <c r="C16" s="22"/>
      <c r="D16" s="22"/>
      <c r="E16" s="22"/>
      <c r="F16" s="22"/>
      <c r="G16" s="22"/>
      <c r="H16" s="19"/>
      <c r="I16" s="19"/>
      <c r="J16" s="20"/>
    </row>
    <row r="17" spans="1:10" s="4" customFormat="1">
      <c r="A17" s="22"/>
      <c r="B17" s="22"/>
      <c r="C17" s="22"/>
      <c r="D17" s="22"/>
      <c r="E17" s="22"/>
      <c r="F17" s="22"/>
      <c r="G17" s="22"/>
      <c r="H17" s="19"/>
      <c r="I17" s="19"/>
      <c r="J17" s="20"/>
    </row>
    <row r="18" spans="1:10" s="4" customFormat="1">
      <c r="A18" s="22"/>
      <c r="B18" s="22"/>
      <c r="C18" s="22"/>
      <c r="D18" s="22"/>
      <c r="E18" s="22"/>
      <c r="F18" s="22"/>
      <c r="G18" s="22"/>
      <c r="H18" s="19"/>
      <c r="I18" s="19"/>
      <c r="J18" s="20"/>
    </row>
    <row r="19" spans="1:10" s="4" customFormat="1">
      <c r="A19" s="22"/>
      <c r="B19" s="22"/>
      <c r="C19" s="22"/>
      <c r="D19" s="22"/>
      <c r="E19" s="22"/>
      <c r="F19" s="22"/>
      <c r="G19" s="22"/>
      <c r="H19" s="19"/>
      <c r="I19" s="19"/>
      <c r="J19" s="20"/>
    </row>
    <row r="20" spans="1:10" s="4" customFormat="1">
      <c r="A20" s="22"/>
      <c r="B20" s="22"/>
      <c r="C20" s="22"/>
      <c r="D20" s="22"/>
      <c r="E20" s="22"/>
      <c r="F20" s="22"/>
      <c r="G20" s="22"/>
      <c r="H20" s="19"/>
      <c r="I20" s="19"/>
      <c r="J20" s="20"/>
    </row>
    <row r="21" spans="1:10" s="4" customFormat="1">
      <c r="A21" s="22"/>
      <c r="B21" s="22"/>
      <c r="C21" s="22"/>
      <c r="D21" s="22"/>
      <c r="E21" s="22"/>
      <c r="F21" s="22"/>
      <c r="G21" s="22"/>
      <c r="H21" s="19"/>
      <c r="I21" s="19"/>
      <c r="J21" s="20"/>
    </row>
    <row r="22" spans="1:10" s="4" customFormat="1">
      <c r="A22" s="22"/>
      <c r="B22" s="22"/>
      <c r="C22" s="22"/>
      <c r="D22" s="22"/>
      <c r="E22" s="22"/>
      <c r="F22" s="22"/>
      <c r="G22" s="22"/>
      <c r="H22" s="19"/>
      <c r="I22" s="19"/>
      <c r="J22" s="20"/>
    </row>
    <row r="23" spans="1:10" s="4" customFormat="1">
      <c r="A23" s="22"/>
      <c r="B23" s="22"/>
      <c r="C23" s="22"/>
      <c r="D23" s="22"/>
      <c r="E23" s="22"/>
      <c r="F23" s="22"/>
      <c r="G23" s="22"/>
      <c r="H23" s="19"/>
      <c r="I23" s="19"/>
      <c r="J23" s="20"/>
    </row>
    <row r="24" spans="1:10" s="4" customFormat="1">
      <c r="A24" s="107" t="s">
        <v>1102</v>
      </c>
      <c r="B24" s="107"/>
      <c r="C24" s="107"/>
      <c r="D24" s="107"/>
      <c r="E24" s="107"/>
      <c r="F24" s="107"/>
      <c r="G24" s="108"/>
      <c r="H24" s="109"/>
      <c r="I24" s="109"/>
      <c r="J24" s="109"/>
    </row>
    <row r="25" spans="1:10" s="4" customFormat="1">
      <c r="A25" s="22"/>
      <c r="B25" s="22"/>
      <c r="C25" s="22"/>
      <c r="D25" s="22"/>
      <c r="E25" s="22"/>
      <c r="F25" s="22"/>
      <c r="G25" s="22"/>
      <c r="H25" s="19"/>
      <c r="I25" s="19"/>
      <c r="J25" s="20"/>
    </row>
    <row r="26" spans="1:10" s="4" customFormat="1">
      <c r="A26" s="22"/>
      <c r="B26" s="22"/>
      <c r="C26" s="22"/>
      <c r="D26" s="22"/>
      <c r="E26" s="22"/>
      <c r="F26" s="22"/>
      <c r="G26" s="22"/>
      <c r="H26" s="19"/>
      <c r="I26" s="19"/>
      <c r="J26" s="20"/>
    </row>
    <row r="27" spans="1:10" s="4" customFormat="1">
      <c r="A27" s="22"/>
      <c r="B27" s="22"/>
      <c r="C27" s="22"/>
      <c r="D27" s="22"/>
      <c r="E27" s="22"/>
      <c r="F27" s="22"/>
      <c r="G27" s="22"/>
      <c r="H27" s="19"/>
      <c r="I27" s="19"/>
      <c r="J27" s="20"/>
    </row>
    <row r="28" spans="1:10" s="4" customFormat="1">
      <c r="A28" s="22"/>
      <c r="B28" s="22"/>
      <c r="C28" s="22"/>
      <c r="D28" s="22"/>
      <c r="E28" s="22"/>
      <c r="F28" s="22"/>
      <c r="G28" s="22"/>
      <c r="H28" s="19"/>
      <c r="I28" s="19"/>
      <c r="J28" s="20"/>
    </row>
    <row r="29" spans="1:10" s="4" customFormat="1">
      <c r="A29" s="22"/>
      <c r="B29" s="22"/>
      <c r="C29" s="22"/>
      <c r="D29" s="22"/>
      <c r="E29" s="22"/>
      <c r="F29" s="22"/>
      <c r="G29" s="22"/>
      <c r="H29" s="19"/>
      <c r="I29" s="19"/>
      <c r="J29" s="20"/>
    </row>
    <row r="30" spans="1:10" s="4" customFormat="1">
      <c r="A30" s="22"/>
      <c r="B30" s="22"/>
      <c r="C30" s="22"/>
      <c r="D30" s="22"/>
      <c r="E30" s="22"/>
      <c r="F30" s="22"/>
      <c r="G30" s="22"/>
      <c r="H30" s="19"/>
      <c r="I30" s="19"/>
      <c r="J30" s="20"/>
    </row>
    <row r="31" spans="1:10" s="4" customFormat="1">
      <c r="A31" s="22"/>
      <c r="B31" s="22"/>
      <c r="C31" s="22"/>
      <c r="D31" s="22"/>
      <c r="E31" s="22"/>
      <c r="F31" s="22"/>
      <c r="G31" s="22"/>
      <c r="H31" s="19"/>
      <c r="I31" s="19"/>
      <c r="J31" s="20"/>
    </row>
    <row r="32" spans="1:10" s="4" customFormat="1">
      <c r="A32" s="22"/>
      <c r="B32" s="22"/>
      <c r="C32" s="22"/>
      <c r="D32" s="22"/>
      <c r="E32" s="22"/>
      <c r="F32" s="22"/>
      <c r="G32" s="22"/>
      <c r="H32" s="19"/>
      <c r="I32" s="19"/>
      <c r="J32" s="20"/>
    </row>
    <row r="33" spans="1:10" s="4" customFormat="1">
      <c r="A33" s="22"/>
      <c r="B33" s="22"/>
      <c r="C33" s="22"/>
      <c r="D33" s="22"/>
      <c r="E33" s="22"/>
      <c r="F33" s="22"/>
      <c r="G33" s="22"/>
      <c r="H33" s="19"/>
      <c r="I33" s="19"/>
      <c r="J33" s="20"/>
    </row>
    <row r="34" spans="1:10">
      <c r="A34" s="22"/>
      <c r="B34" s="22"/>
      <c r="C34" s="22"/>
      <c r="D34" s="22"/>
      <c r="E34" s="22"/>
      <c r="F34" s="22"/>
      <c r="G34" s="22"/>
      <c r="H34" s="19"/>
      <c r="I34" s="19"/>
      <c r="J34" s="20"/>
    </row>
    <row r="35" spans="1:10">
      <c r="A35" s="22"/>
      <c r="B35" s="22"/>
      <c r="C35" s="22"/>
      <c r="D35" s="22"/>
      <c r="E35" s="22"/>
      <c r="F35" s="22"/>
      <c r="G35" s="22"/>
      <c r="H35" s="19"/>
      <c r="I35" s="19"/>
      <c r="J35" s="20"/>
    </row>
    <row r="36" spans="1:10">
      <c r="A36" s="22"/>
      <c r="B36" s="22"/>
      <c r="C36" s="22"/>
      <c r="D36" s="22"/>
      <c r="E36" s="22"/>
      <c r="F36" s="22"/>
      <c r="G36" s="22"/>
      <c r="H36" s="19"/>
      <c r="I36" s="19"/>
      <c r="J36" s="20"/>
    </row>
    <row r="37" spans="1:10">
      <c r="A37" s="22"/>
      <c r="B37" s="22"/>
      <c r="C37" s="22"/>
      <c r="D37" s="22"/>
      <c r="E37" s="22"/>
      <c r="F37" s="22"/>
      <c r="G37" s="22"/>
      <c r="H37" s="19"/>
      <c r="I37" s="19"/>
      <c r="J37" s="20"/>
    </row>
    <row r="38" spans="1:10">
      <c r="A38" s="22"/>
      <c r="B38" s="22"/>
      <c r="C38" s="22"/>
      <c r="D38" s="22"/>
      <c r="E38" s="22"/>
      <c r="F38" s="22"/>
      <c r="G38" s="22"/>
      <c r="H38" s="19"/>
      <c r="I38" s="19"/>
      <c r="J38" s="20"/>
    </row>
    <row r="39" spans="1:10">
      <c r="A39" s="22"/>
      <c r="B39" s="22"/>
      <c r="C39" s="22"/>
      <c r="D39" s="22"/>
      <c r="E39" s="22"/>
      <c r="F39" s="22"/>
      <c r="G39" s="22"/>
      <c r="H39" s="19"/>
      <c r="I39" s="19"/>
      <c r="J39" s="20"/>
    </row>
    <row r="40" spans="1:10">
      <c r="A40" s="22"/>
      <c r="B40" s="22"/>
      <c r="C40" s="22"/>
      <c r="D40" s="22"/>
      <c r="E40" s="22"/>
      <c r="F40" s="22"/>
      <c r="G40" s="22"/>
      <c r="H40" s="19"/>
      <c r="I40" s="19"/>
      <c r="J40" s="20"/>
    </row>
    <row r="41" spans="1:10">
      <c r="A41" s="22"/>
      <c r="B41" s="22"/>
      <c r="C41" s="22"/>
      <c r="D41" s="22"/>
      <c r="E41" s="22"/>
      <c r="F41" s="22"/>
      <c r="G41" s="22"/>
      <c r="H41" s="19"/>
      <c r="I41" s="19"/>
      <c r="J41" s="20"/>
    </row>
    <row r="42" spans="1:10">
      <c r="A42" s="22"/>
      <c r="B42" s="22"/>
      <c r="C42" s="22"/>
      <c r="D42" s="22"/>
      <c r="E42" s="22"/>
      <c r="F42" s="22"/>
      <c r="G42" s="22"/>
      <c r="H42" s="19"/>
      <c r="I42" s="19"/>
      <c r="J42" s="20"/>
    </row>
    <row r="43" spans="1:10">
      <c r="A43" s="22"/>
      <c r="B43" s="22"/>
      <c r="C43" s="22"/>
      <c r="D43" s="22"/>
      <c r="E43" s="22"/>
      <c r="F43" s="22"/>
      <c r="G43" s="22"/>
      <c r="H43" s="19"/>
      <c r="I43" s="19"/>
      <c r="J43" s="20"/>
    </row>
    <row r="44" spans="1:10">
      <c r="A44" s="22"/>
      <c r="B44" s="22"/>
      <c r="C44" s="22"/>
      <c r="D44" s="22"/>
      <c r="E44" s="22"/>
      <c r="F44" s="22"/>
      <c r="G44" s="22"/>
      <c r="H44" s="19"/>
      <c r="I44" s="19"/>
      <c r="J44" s="20"/>
    </row>
    <row r="45" spans="1:10">
      <c r="A45" s="22"/>
      <c r="B45" s="22"/>
      <c r="C45" s="22"/>
      <c r="D45" s="22"/>
      <c r="E45" s="22"/>
      <c r="F45" s="22"/>
      <c r="G45" s="22"/>
      <c r="H45" s="19"/>
      <c r="I45" s="19"/>
      <c r="J45" s="20"/>
    </row>
  </sheetData>
  <mergeCells count="13">
    <mergeCell ref="G8:I8"/>
    <mergeCell ref="J8:J10"/>
    <mergeCell ref="G9:I9"/>
    <mergeCell ref="A11:J11"/>
    <mergeCell ref="A24:J24"/>
    <mergeCell ref="B1:F1"/>
    <mergeCell ref="B2:F2"/>
    <mergeCell ref="A8:A10"/>
    <mergeCell ref="B8:B10"/>
    <mergeCell ref="C8:C10"/>
    <mergeCell ref="D8:D10"/>
    <mergeCell ref="E8:E10"/>
    <mergeCell ref="F8:F1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Trường hợp kiểm thử</vt:lpstr>
      <vt:lpstr>Hồ sơ y tế</vt:lpstr>
      <vt:lpstr>Dự báo CLKK</vt:lpstr>
      <vt:lpstr>Tìm đường</vt:lpstr>
      <vt:lpstr>Địa điểm quan tâm</vt:lpstr>
      <vt:lpstr>Thiết lập cảnh báo</vt:lpstr>
      <vt:lpstr>Nhận thông báo</vt:lpstr>
      <vt:lpstr>Đăng ký gói PRO</vt:lpstr>
      <vt:lpstr>Thanh toán</vt:lpstr>
      <vt:lpstr>Liên hệ</vt:lpstr>
      <vt:lpstr>Quản lý Liên hệ</vt:lpstr>
      <vt:lpstr>Khuyến nghị sức khỏe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hungp</dc:creator>
  <cp:keywords/>
  <dc:description/>
  <cp:lastModifiedBy>tran hung</cp:lastModifiedBy>
  <cp:revision/>
  <dcterms:created xsi:type="dcterms:W3CDTF">2015-06-05T18:17:20Z</dcterms:created>
  <dcterms:modified xsi:type="dcterms:W3CDTF">2026-04-28T23:50:00Z</dcterms:modified>
  <cp:category/>
  <cp:contentStatus/>
</cp:coreProperties>
</file>